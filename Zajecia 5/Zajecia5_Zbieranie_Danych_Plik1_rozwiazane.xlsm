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Z:\Rybacki Jakub\Excel\5\"/>
    </mc:Choice>
  </mc:AlternateContent>
  <xr:revisionPtr revIDLastSave="0" documentId="13_ncr:1_{9EC0B010-1773-4ACB-9C69-BC4A6189B9A2}" xr6:coauthVersionLast="36" xr6:coauthVersionMax="36" xr10:uidLastSave="{00000000-0000-0000-0000-000000000000}"/>
  <bookViews>
    <workbookView xWindow="0" yWindow="0" windowWidth="23040" windowHeight="9204" activeTab="3" xr2:uid="{01A8C402-5FD2-4BEA-A253-2F0BD7C028BF}"/>
  </bookViews>
  <sheets>
    <sheet name="Polecenia" sheetId="1" r:id="rId1"/>
    <sheet name="Marki" sheetId="2" r:id="rId2"/>
    <sheet name="Model" sheetId="3" r:id="rId3"/>
    <sheet name="Monitor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7" i="4" l="1"/>
  <c r="K28" i="4"/>
  <c r="K29" i="4"/>
  <c r="K30" i="4"/>
  <c r="K31" i="4"/>
  <c r="K32" i="4"/>
  <c r="K33" i="4"/>
  <c r="K34" i="4"/>
  <c r="K35" i="4"/>
  <c r="K36" i="4"/>
  <c r="K37" i="4"/>
  <c r="K26" i="4"/>
  <c r="E27" i="4"/>
  <c r="E28" i="4"/>
  <c r="E29" i="4"/>
  <c r="E30" i="4"/>
  <c r="E31" i="4"/>
  <c r="E32" i="4"/>
  <c r="E33" i="4"/>
  <c r="E34" i="4"/>
  <c r="E35" i="4"/>
  <c r="E36" i="4"/>
  <c r="E37" i="4"/>
  <c r="E26" i="4"/>
  <c r="D27" i="4"/>
  <c r="D28" i="4"/>
  <c r="D29" i="4"/>
  <c r="D30" i="4"/>
  <c r="D31" i="4"/>
  <c r="D32" i="4"/>
  <c r="D33" i="4"/>
  <c r="D34" i="4"/>
  <c r="D35" i="4"/>
  <c r="D36" i="4"/>
  <c r="D37" i="4"/>
  <c r="D26" i="4"/>
  <c r="J27" i="4"/>
  <c r="J28" i="4"/>
  <c r="J29" i="4"/>
  <c r="J30" i="4"/>
  <c r="J31" i="4"/>
  <c r="J32" i="4"/>
  <c r="J33" i="4"/>
  <c r="J34" i="4"/>
  <c r="J35" i="4"/>
  <c r="J36" i="4"/>
  <c r="J37" i="4"/>
  <c r="J26" i="4"/>
  <c r="C19" i="1" l="1"/>
  <c r="C20" i="1"/>
  <c r="C14" i="1"/>
  <c r="C15" i="1"/>
  <c r="C16" i="1"/>
  <c r="C17" i="1"/>
  <c r="C18" i="1"/>
  <c r="C8" i="1"/>
  <c r="C9" i="1"/>
  <c r="C10" i="1"/>
  <c r="C11" i="1"/>
  <c r="C12" i="1"/>
  <c r="C13" i="1"/>
  <c r="C7" i="1"/>
</calcChain>
</file>

<file path=xl/sharedStrings.xml><?xml version="1.0" encoding="utf-8"?>
<sst xmlns="http://schemas.openxmlformats.org/spreadsheetml/2006/main" count="518" uniqueCount="96">
  <si>
    <t>Wiersz w Excelu</t>
  </si>
  <si>
    <t>Kod rok</t>
  </si>
  <si>
    <t>Marka</t>
  </si>
  <si>
    <t>Sprzedaż</t>
  </si>
  <si>
    <t>Rejestracje</t>
  </si>
  <si>
    <t>Nazwa XLS</t>
  </si>
  <si>
    <t>Zadanie 1</t>
  </si>
  <si>
    <t>Kod miesiąc</t>
  </si>
  <si>
    <t>Wykorzystaj dane z poniższej tabelki, aby zebrać informacje z 14 różnych arkuszy.</t>
  </si>
  <si>
    <t>W plikach docelowych interesuje nas karta "Samochody osobowe" oraz tabela B5:O34</t>
  </si>
  <si>
    <t>Będziemy chcieli kopiować jej zawartość do tabeli Marki</t>
  </si>
  <si>
    <t>Udział w rynku</t>
  </si>
  <si>
    <t>Udział</t>
  </si>
  <si>
    <t>Model</t>
  </si>
  <si>
    <t>Zestawienie 1</t>
  </si>
  <si>
    <t>Zestawienie 2</t>
  </si>
  <si>
    <t>PZPM</t>
  </si>
  <si>
    <t>Źródło danych:</t>
  </si>
  <si>
    <t>Strona Techniczna</t>
  </si>
  <si>
    <t>Workbooks</t>
  </si>
  <si>
    <t>Sheets</t>
  </si>
  <si>
    <t>Aby poruszać się między arkuszami wykorzystamy obiekty:</t>
  </si>
  <si>
    <r>
      <t xml:space="preserve">Podstawową instrukcją do wykonania zadania jest pętla </t>
    </r>
    <r>
      <rPr>
        <sz val="11"/>
        <color rgb="FF0070C0"/>
        <rFont val="Calibri"/>
        <family val="2"/>
        <scheme val="minor"/>
      </rPr>
      <t>for</t>
    </r>
    <r>
      <rPr>
        <sz val="11"/>
        <rFont val="Calibri"/>
        <family val="2"/>
        <scheme val="minor"/>
      </rPr>
      <t>:</t>
    </r>
  </si>
  <si>
    <t>For licznik = 1  To koniec [Step krok]
    Operacje
Next[licznik</t>
  </si>
  <si>
    <t>Aby odwołać się do konkretnej komórki z aktywnego arkusza w języku VBA wpisujemy.</t>
  </si>
  <si>
    <t>ActiveSheet.Cells(i,j)</t>
  </si>
  <si>
    <t xml:space="preserve">Dokumentacja: </t>
  </si>
  <si>
    <t>Link</t>
  </si>
  <si>
    <t>Zadanie 2</t>
  </si>
  <si>
    <t>Powtórzymy pętle dla zakładki Model</t>
  </si>
  <si>
    <t>TOYOTA</t>
  </si>
  <si>
    <t>KIA</t>
  </si>
  <si>
    <t>SKODA</t>
  </si>
  <si>
    <t>VOLKSWAGEN</t>
  </si>
  <si>
    <t>BMW</t>
  </si>
  <si>
    <t>HYUNDAI</t>
  </si>
  <si>
    <t>FORD</t>
  </si>
  <si>
    <t>DACIA</t>
  </si>
  <si>
    <t>AUDI</t>
  </si>
  <si>
    <t>MERCEDES-BENZ</t>
  </si>
  <si>
    <t>RENAULT</t>
  </si>
  <si>
    <t>PEUGEOT</t>
  </si>
  <si>
    <t>OPEL</t>
  </si>
  <si>
    <t>VOLVO</t>
  </si>
  <si>
    <t>MAZDA</t>
  </si>
  <si>
    <t>CITROEN</t>
  </si>
  <si>
    <t>SUZUKI</t>
  </si>
  <si>
    <t>NISSAN</t>
  </si>
  <si>
    <t>FIAT</t>
  </si>
  <si>
    <t>SEAT</t>
  </si>
  <si>
    <t>LEXUS</t>
  </si>
  <si>
    <t>Toyota Corolla</t>
  </si>
  <si>
    <t>Toyota Yaris</t>
  </si>
  <si>
    <t>Skoda Octavia</t>
  </si>
  <si>
    <t>Volkswagen T-Roc</t>
  </si>
  <si>
    <t>Toyota RAV4</t>
  </si>
  <si>
    <t>Kia Sportage</t>
  </si>
  <si>
    <t>Dacia Duster</t>
  </si>
  <si>
    <t>Skoda Fabia</t>
  </si>
  <si>
    <t>Toyota C-HR</t>
  </si>
  <si>
    <t>Volkswagen Tiguan</t>
  </si>
  <si>
    <t>Skoda Kamiq</t>
  </si>
  <si>
    <t>Skoda Karoq</t>
  </si>
  <si>
    <t>Volkswagen Golf</t>
  </si>
  <si>
    <t>Toyota Aygo</t>
  </si>
  <si>
    <t>Volkswagen Passat</t>
  </si>
  <si>
    <t>Skoda Superb</t>
  </si>
  <si>
    <t>Suzuki Vitara</t>
  </si>
  <si>
    <t>Hyundai Tucson</t>
  </si>
  <si>
    <t>Skoda Kodiaq</t>
  </si>
  <si>
    <t>Dacia Sandero</t>
  </si>
  <si>
    <t>Fiat Tipo</t>
  </si>
  <si>
    <t>Kia Cee'D</t>
  </si>
  <si>
    <t>Renault Clio</t>
  </si>
  <si>
    <t>Ford Focus</t>
  </si>
  <si>
    <t>Honda CR-V</t>
  </si>
  <si>
    <t>Seat Leon</t>
  </si>
  <si>
    <t>Volvo XC60</t>
  </si>
  <si>
    <t>Nissan Qashqai</t>
  </si>
  <si>
    <t>Hyundai I30</t>
  </si>
  <si>
    <t>Toyota Camry</t>
  </si>
  <si>
    <t>Kia Xceed</t>
  </si>
  <si>
    <t>Ford Puma</t>
  </si>
  <si>
    <t>Audi Q5</t>
  </si>
  <si>
    <t>Kia Stonic</t>
  </si>
  <si>
    <t>BMW Seria 3</t>
  </si>
  <si>
    <t>Hyundai I20</t>
  </si>
  <si>
    <t>Opel Mokka</t>
  </si>
  <si>
    <t>Opel Corsa</t>
  </si>
  <si>
    <t>Hyundai Kona</t>
  </si>
  <si>
    <t>Mazda CX-30</t>
  </si>
  <si>
    <t>BMW X3</t>
  </si>
  <si>
    <t>Peugeot 208</t>
  </si>
  <si>
    <t>Toyota Yaris Cross</t>
  </si>
  <si>
    <t>Renault Arkana</t>
  </si>
  <si>
    <t>Volkswagen T-Cross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</si>
</sst>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\ _z_ł_-;\-* #,##0.00\ _z_ł_-;_-* &quot;-&quot;??\ _z_ł_-;_-@_-"/>
    <numFmt numFmtId="164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/>
    <xf numFmtId="14" fontId="0" fillId="0" borderId="0" xfId="0" applyNumberFormat="1"/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/>
    <xf numFmtId="0" fontId="6" fillId="0" borderId="0" xfId="7"/>
    <xf numFmtId="0" fontId="2" fillId="0" borderId="0" xfId="0" applyFont="1"/>
    <xf numFmtId="0" fontId="9" fillId="0" borderId="0" xfId="0" applyFont="1"/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9" fontId="0" fillId="0" borderId="0" xfId="0" applyNumberFormat="1"/>
    <xf numFmtId="0" fontId="0" fillId="0" borderId="0" xfId="0" applyNumberFormat="1"/>
    <xf numFmtId="3" fontId="0" fillId="0" borderId="0" xfId="0" applyNumberFormat="1"/>
  </cellXfs>
  <cellStyles count="24">
    <cellStyle name="Comma 2" xfId="1" xr:uid="{00000000-0005-0000-0000-00002F000000}"/>
    <cellStyle name="Dziesiętny 2" xfId="2" xr:uid="{00000000-0005-0000-0000-000030000000}"/>
    <cellStyle name="Dziesiętny 2 2" xfId="3" xr:uid="{00000000-0005-0000-0000-000031000000}"/>
    <cellStyle name="Dziesiętny 2 3" xfId="4" xr:uid="{00000000-0005-0000-0000-000032000000}"/>
    <cellStyle name="Dziesiętny 3" xfId="5" xr:uid="{00000000-0005-0000-0000-000033000000}"/>
    <cellStyle name="Dziesiętny 4" xfId="6" xr:uid="{00000000-0005-0000-0000-000034000000}"/>
    <cellStyle name="Hiperłącze" xfId="7" builtinId="8"/>
    <cellStyle name="Normalny" xfId="0" builtinId="0"/>
    <cellStyle name="Normalny 2" xfId="8" xr:uid="{00000000-0005-0000-0000-000036000000}"/>
    <cellStyle name="Normalny 3" xfId="9" xr:uid="{00000000-0005-0000-0000-000037000000}"/>
    <cellStyle name="Normalny 3 2" xfId="10" xr:uid="{00000000-0005-0000-0000-000038000000}"/>
    <cellStyle name="Normalny 4" xfId="11" xr:uid="{00000000-0005-0000-0000-000039000000}"/>
    <cellStyle name="Normalny 4 2" xfId="12" xr:uid="{00000000-0005-0000-0000-00003A000000}"/>
    <cellStyle name="Normalny 5" xfId="13" xr:uid="{00000000-0005-0000-0000-00003B000000}"/>
    <cellStyle name="Normalny 5 2" xfId="14" xr:uid="{00000000-0005-0000-0000-00003C000000}"/>
    <cellStyle name="Normalny 6" xfId="15" xr:uid="{00000000-0005-0000-0000-00003D000000}"/>
    <cellStyle name="Normalny 7" xfId="16" xr:uid="{00000000-0005-0000-0000-00003E000000}"/>
    <cellStyle name="Percent 2" xfId="17" xr:uid="{00000000-0005-0000-0000-00003F000000}"/>
    <cellStyle name="Procentowy 2" xfId="18" xr:uid="{00000000-0005-0000-0000-000040000000}"/>
    <cellStyle name="Procentowy 3" xfId="19" xr:uid="{00000000-0005-0000-0000-000041000000}"/>
    <cellStyle name="Procentowy 3 2" xfId="20" xr:uid="{00000000-0005-0000-0000-000042000000}"/>
    <cellStyle name="Procentowy 4" xfId="21" xr:uid="{00000000-0005-0000-0000-000043000000}"/>
    <cellStyle name="Procentowy 4 2" xfId="22" xr:uid="{00000000-0005-0000-0000-000044000000}"/>
    <cellStyle name="Procentowy 5" xfId="23" xr:uid="{00000000-0005-0000-0000-00004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microsoft.com/en-us/office/vba/api/excel.workbook.sheets" TargetMode="External"/><Relationship Id="rId2" Type="http://schemas.openxmlformats.org/officeDocument/2006/relationships/hyperlink" Target="https://docs.microsoft.com/en-us/office/vba/api/excel.workbook" TargetMode="External"/><Relationship Id="rId1" Type="http://schemas.openxmlformats.org/officeDocument/2006/relationships/hyperlink" Target="https://www.pzpm.org.pl/pl/Rynek-motoryzacyjny/Rejestracje-samochody-osobowe-i-dostawcze/" TargetMode="External"/><Relationship Id="rId4" Type="http://schemas.openxmlformats.org/officeDocument/2006/relationships/hyperlink" Target="https://docs.microsoft.com/en-us/office/vba/language/reference/user-interface-help/fornext-state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F6FA3-772C-4AE9-8C2C-8221FCCEB048}">
  <sheetPr codeName="Arkusz1"/>
  <dimension ref="B2:J52"/>
  <sheetViews>
    <sheetView showGridLines="0" workbookViewId="0">
      <selection activeCell="B7" sqref="B7"/>
    </sheetView>
  </sheetViews>
  <sheetFormatPr defaultRowHeight="14.4" x14ac:dyDescent="0.3"/>
  <cols>
    <col min="2" max="2" width="35.44140625" customWidth="1"/>
    <col min="3" max="3" width="27.6640625" customWidth="1"/>
    <col min="4" max="4" width="14.33203125" customWidth="1"/>
    <col min="7" max="10" width="14" customWidth="1"/>
  </cols>
  <sheetData>
    <row r="2" spans="2:10" x14ac:dyDescent="0.3">
      <c r="B2" s="10" t="s">
        <v>6</v>
      </c>
      <c r="C2" s="10"/>
      <c r="D2" s="10"/>
      <c r="E2" s="10"/>
      <c r="G2" s="10" t="s">
        <v>28</v>
      </c>
      <c r="H2" s="10"/>
      <c r="I2" s="10"/>
      <c r="J2" s="10"/>
    </row>
    <row r="4" spans="2:10" x14ac:dyDescent="0.3">
      <c r="B4" s="11" t="s">
        <v>8</v>
      </c>
      <c r="C4" s="11"/>
      <c r="D4" s="11"/>
      <c r="E4" s="11"/>
      <c r="G4" t="s">
        <v>29</v>
      </c>
    </row>
    <row r="6" spans="2:10" x14ac:dyDescent="0.3">
      <c r="B6" s="4" t="s">
        <v>0</v>
      </c>
      <c r="C6" s="4" t="s">
        <v>5</v>
      </c>
      <c r="D6" s="4" t="s">
        <v>7</v>
      </c>
      <c r="E6" s="4" t="s">
        <v>1</v>
      </c>
    </row>
    <row r="7" spans="2:10" x14ac:dyDescent="0.3">
      <c r="B7" s="3">
        <v>4</v>
      </c>
      <c r="C7" s="3" t="str">
        <f>"PZPM_SOiSD_"&amp; IF(D7&lt;10,0,"")&amp;D7&amp;"_"&amp;E7</f>
        <v>PZPM_SOiSD_01_2021</v>
      </c>
      <c r="D7" s="3">
        <v>1</v>
      </c>
      <c r="E7" s="3">
        <v>2021</v>
      </c>
    </row>
    <row r="8" spans="2:10" x14ac:dyDescent="0.3">
      <c r="B8" s="3">
        <v>5</v>
      </c>
      <c r="C8" s="3" t="str">
        <f t="shared" ref="C8:C18" si="0">"PZPM_SOiSD_"&amp; IF(D8&lt;10,0,"")&amp;D8&amp;"_"&amp;E8</f>
        <v>PZPM_SOiSD_02_2021</v>
      </c>
      <c r="D8" s="3">
        <v>2</v>
      </c>
      <c r="E8" s="3">
        <v>2021</v>
      </c>
    </row>
    <row r="9" spans="2:10" x14ac:dyDescent="0.3">
      <c r="B9" s="3">
        <v>6</v>
      </c>
      <c r="C9" s="3" t="str">
        <f t="shared" si="0"/>
        <v>PZPM_SOiSD_03_2021</v>
      </c>
      <c r="D9" s="3">
        <v>3</v>
      </c>
      <c r="E9" s="3">
        <v>2021</v>
      </c>
    </row>
    <row r="10" spans="2:10" x14ac:dyDescent="0.3">
      <c r="B10" s="3">
        <v>7</v>
      </c>
      <c r="C10" s="3" t="str">
        <f t="shared" si="0"/>
        <v>PZPM_SOiSD_04_2021</v>
      </c>
      <c r="D10" s="3">
        <v>4</v>
      </c>
      <c r="E10" s="3">
        <v>2021</v>
      </c>
    </row>
    <row r="11" spans="2:10" x14ac:dyDescent="0.3">
      <c r="B11" s="3">
        <v>8</v>
      </c>
      <c r="C11" s="3" t="str">
        <f t="shared" si="0"/>
        <v>PZPM_SOiSD_05_2021</v>
      </c>
      <c r="D11" s="3">
        <v>5</v>
      </c>
      <c r="E11" s="3">
        <v>2021</v>
      </c>
    </row>
    <row r="12" spans="2:10" x14ac:dyDescent="0.3">
      <c r="B12" s="3">
        <v>9</v>
      </c>
      <c r="C12" s="3" t="str">
        <f t="shared" si="0"/>
        <v>PZPM_SOiSD_06_2021</v>
      </c>
      <c r="D12" s="3">
        <v>6</v>
      </c>
      <c r="E12" s="3">
        <v>2021</v>
      </c>
    </row>
    <row r="13" spans="2:10" x14ac:dyDescent="0.3">
      <c r="B13" s="3">
        <v>10</v>
      </c>
      <c r="C13" s="3" t="str">
        <f t="shared" si="0"/>
        <v>PZPM_SOiSD_07_2021</v>
      </c>
      <c r="D13" s="3">
        <v>7</v>
      </c>
      <c r="E13" s="3">
        <v>2021</v>
      </c>
    </row>
    <row r="14" spans="2:10" x14ac:dyDescent="0.3">
      <c r="B14" s="3">
        <v>11</v>
      </c>
      <c r="C14" s="3" t="str">
        <f>"PZPM_SOiSD_"&amp; IF(D14&lt;10,0,"")&amp;D14&amp;"_"&amp;E14</f>
        <v>PZPM_SOiSD_08_2021</v>
      </c>
      <c r="D14" s="3">
        <v>8</v>
      </c>
      <c r="E14" s="3">
        <v>2021</v>
      </c>
    </row>
    <row r="15" spans="2:10" x14ac:dyDescent="0.3">
      <c r="B15" s="3">
        <v>12</v>
      </c>
      <c r="C15" s="3" t="str">
        <f t="shared" si="0"/>
        <v>PZPM_SOiSD_09_2021</v>
      </c>
      <c r="D15" s="3">
        <v>9</v>
      </c>
      <c r="E15" s="3">
        <v>2021</v>
      </c>
    </row>
    <row r="16" spans="2:10" x14ac:dyDescent="0.3">
      <c r="B16" s="3">
        <v>13</v>
      </c>
      <c r="C16" s="3" t="str">
        <f t="shared" si="0"/>
        <v>PZPM_SOiSD_10_2021</v>
      </c>
      <c r="D16" s="3">
        <v>10</v>
      </c>
      <c r="E16" s="3">
        <v>2021</v>
      </c>
    </row>
    <row r="17" spans="2:5" x14ac:dyDescent="0.3">
      <c r="B17" s="3">
        <v>14</v>
      </c>
      <c r="C17" s="3" t="str">
        <f t="shared" si="0"/>
        <v>PZPM_SOiSD_11_2021</v>
      </c>
      <c r="D17" s="3">
        <v>11</v>
      </c>
      <c r="E17" s="3">
        <v>2021</v>
      </c>
    </row>
    <row r="18" spans="2:5" x14ac:dyDescent="0.3">
      <c r="B18" s="3">
        <v>15</v>
      </c>
      <c r="C18" s="3" t="str">
        <f t="shared" si="0"/>
        <v>PZPM_SOiSD_12_2021</v>
      </c>
      <c r="D18" s="3">
        <v>12</v>
      </c>
      <c r="E18" s="3">
        <v>2021</v>
      </c>
    </row>
    <row r="19" spans="2:5" x14ac:dyDescent="0.3">
      <c r="B19" s="3">
        <v>16</v>
      </c>
      <c r="C19" s="3" t="str">
        <f t="shared" ref="C19:C20" si="1">"PZPM_SOiSD_"&amp; IF(D19&lt;10,0,"")&amp;D19&amp;"_"&amp;E19</f>
        <v>PZPM_SOiSD_01_2022</v>
      </c>
      <c r="D19" s="3">
        <v>1</v>
      </c>
      <c r="E19" s="3">
        <v>2022</v>
      </c>
    </row>
    <row r="20" spans="2:5" x14ac:dyDescent="0.3">
      <c r="B20" s="3">
        <v>17</v>
      </c>
      <c r="C20" s="3" t="str">
        <f t="shared" si="1"/>
        <v>PZPM_SOiSD_02_2022</v>
      </c>
      <c r="D20" s="3">
        <v>2</v>
      </c>
      <c r="E20" s="3">
        <v>2022</v>
      </c>
    </row>
    <row r="23" spans="2:5" x14ac:dyDescent="0.3">
      <c r="B23" t="s">
        <v>9</v>
      </c>
    </row>
    <row r="25" spans="2:5" x14ac:dyDescent="0.3">
      <c r="B25" t="s">
        <v>10</v>
      </c>
    </row>
    <row r="27" spans="2:5" x14ac:dyDescent="0.3">
      <c r="B27" t="s">
        <v>17</v>
      </c>
      <c r="C27" s="6" t="s">
        <v>16</v>
      </c>
    </row>
    <row r="29" spans="2:5" x14ac:dyDescent="0.3">
      <c r="B29" s="7" t="s">
        <v>18</v>
      </c>
    </row>
    <row r="31" spans="2:5" x14ac:dyDescent="0.3">
      <c r="B31" t="s">
        <v>21</v>
      </c>
    </row>
    <row r="33" spans="2:9" x14ac:dyDescent="0.3">
      <c r="C33" s="6" t="s">
        <v>19</v>
      </c>
    </row>
    <row r="34" spans="2:9" x14ac:dyDescent="0.3">
      <c r="C34" s="6" t="s">
        <v>20</v>
      </c>
    </row>
    <row r="37" spans="2:9" x14ac:dyDescent="0.3">
      <c r="B37" s="1" t="s">
        <v>22</v>
      </c>
      <c r="C37" s="1"/>
      <c r="D37" s="1"/>
      <c r="E37" s="1"/>
      <c r="F37" s="1"/>
      <c r="G37" s="1"/>
      <c r="H37" s="1"/>
      <c r="I37" s="1"/>
    </row>
    <row r="38" spans="2:9" ht="52.5" customHeight="1" x14ac:dyDescent="0.3">
      <c r="B38" s="12" t="s">
        <v>23</v>
      </c>
      <c r="C38" s="12"/>
      <c r="D38" s="12"/>
      <c r="E38" s="12"/>
      <c r="F38" s="1"/>
      <c r="G38" s="1"/>
      <c r="H38" s="1"/>
      <c r="I38" s="1"/>
    </row>
    <row r="39" spans="2:9" x14ac:dyDescent="0.3">
      <c r="B39" s="1"/>
      <c r="C39" s="1"/>
      <c r="D39" s="1"/>
      <c r="E39" s="1"/>
      <c r="F39" s="1"/>
      <c r="G39" s="1"/>
      <c r="H39" s="1"/>
      <c r="I39" s="1"/>
    </row>
    <row r="40" spans="2:9" ht="15" customHeight="1" x14ac:dyDescent="0.3">
      <c r="B40" s="13" t="s">
        <v>24</v>
      </c>
      <c r="C40" s="13"/>
      <c r="D40" s="13"/>
      <c r="E40" s="13"/>
      <c r="F40" s="9"/>
      <c r="G40" s="9"/>
      <c r="H40" s="9"/>
      <c r="I40" s="1"/>
    </row>
    <row r="41" spans="2:9" x14ac:dyDescent="0.3">
      <c r="B41" s="13"/>
      <c r="C41" s="13"/>
      <c r="D41" s="13"/>
      <c r="E41" s="13"/>
      <c r="F41" s="9"/>
      <c r="G41" s="9"/>
      <c r="H41" s="9"/>
      <c r="I41" s="1"/>
    </row>
    <row r="42" spans="2:9" x14ac:dyDescent="0.3">
      <c r="B42" s="1"/>
      <c r="C42" s="8" t="s">
        <v>25</v>
      </c>
      <c r="D42" s="1"/>
      <c r="E42" s="1"/>
      <c r="F42" s="1"/>
      <c r="G42" s="1"/>
      <c r="H42" s="1"/>
      <c r="I42" s="1"/>
    </row>
    <row r="43" spans="2:9" x14ac:dyDescent="0.3">
      <c r="B43" s="1"/>
      <c r="C43" s="1"/>
      <c r="D43" s="1"/>
      <c r="E43" s="1"/>
      <c r="F43" s="1"/>
      <c r="G43" s="1"/>
      <c r="H43" s="1"/>
      <c r="I43" s="1"/>
    </row>
    <row r="44" spans="2:9" x14ac:dyDescent="0.3">
      <c r="B44" s="1" t="s">
        <v>26</v>
      </c>
      <c r="C44" s="1"/>
      <c r="D44" s="6" t="s">
        <v>27</v>
      </c>
      <c r="E44" s="1"/>
      <c r="F44" s="1"/>
      <c r="G44" s="1"/>
      <c r="H44" s="1"/>
      <c r="I44" s="1"/>
    </row>
    <row r="45" spans="2:9" x14ac:dyDescent="0.3">
      <c r="B45" s="1"/>
      <c r="C45" s="1"/>
      <c r="D45" s="1"/>
      <c r="E45" s="1"/>
      <c r="F45" s="1"/>
      <c r="G45" s="1"/>
      <c r="H45" s="1"/>
      <c r="I45" s="1"/>
    </row>
    <row r="46" spans="2:9" x14ac:dyDescent="0.3">
      <c r="B46" s="1"/>
      <c r="C46" s="1"/>
      <c r="D46" s="1"/>
      <c r="E46" s="1"/>
      <c r="F46" s="1"/>
      <c r="G46" s="1"/>
      <c r="H46" s="1"/>
      <c r="I46" s="1"/>
    </row>
    <row r="47" spans="2:9" x14ac:dyDescent="0.3">
      <c r="B47" s="1"/>
      <c r="C47" s="1"/>
      <c r="D47" s="1"/>
      <c r="E47" s="1"/>
      <c r="F47" s="1"/>
      <c r="G47" s="1"/>
      <c r="H47" s="1"/>
      <c r="I47" s="1"/>
    </row>
    <row r="48" spans="2:9" x14ac:dyDescent="0.3">
      <c r="B48" s="1"/>
      <c r="C48" s="1"/>
      <c r="D48" s="1"/>
      <c r="E48" s="1"/>
      <c r="F48" s="1"/>
      <c r="G48" s="1"/>
      <c r="H48" s="1"/>
      <c r="I48" s="1"/>
    </row>
    <row r="49" spans="2:9" x14ac:dyDescent="0.3">
      <c r="B49" s="1"/>
      <c r="C49" s="1"/>
      <c r="D49" s="1"/>
      <c r="E49" s="1"/>
      <c r="F49" s="1"/>
      <c r="G49" s="1"/>
      <c r="H49" s="1"/>
      <c r="I49" s="1"/>
    </row>
    <row r="50" spans="2:9" x14ac:dyDescent="0.3">
      <c r="B50" s="1"/>
      <c r="C50" s="1"/>
      <c r="D50" s="1"/>
      <c r="E50" s="1"/>
      <c r="F50" s="1"/>
      <c r="G50" s="1"/>
      <c r="H50" s="1"/>
      <c r="I50" s="1"/>
    </row>
    <row r="51" spans="2:9" x14ac:dyDescent="0.3">
      <c r="B51" s="1"/>
      <c r="C51" s="1"/>
      <c r="D51" s="1"/>
      <c r="E51" s="1"/>
      <c r="F51" s="1"/>
      <c r="G51" s="1"/>
      <c r="H51" s="1"/>
      <c r="I51" s="1"/>
    </row>
    <row r="52" spans="2:9" x14ac:dyDescent="0.3">
      <c r="B52" s="1"/>
      <c r="C52" s="1"/>
      <c r="D52" s="6"/>
      <c r="E52" s="1"/>
      <c r="F52" s="1"/>
      <c r="G52" s="1"/>
      <c r="H52" s="1"/>
      <c r="I52" s="1"/>
    </row>
  </sheetData>
  <mergeCells count="5">
    <mergeCell ref="B2:E2"/>
    <mergeCell ref="B4:E4"/>
    <mergeCell ref="B38:E38"/>
    <mergeCell ref="B40:E41"/>
    <mergeCell ref="G2:J2"/>
  </mergeCells>
  <hyperlinks>
    <hyperlink ref="C27" r:id="rId1" xr:uid="{EF1ECEFA-D0F6-4632-8A0F-4B04F094946A}"/>
    <hyperlink ref="C33" r:id="rId2" xr:uid="{DE27671D-B9AA-4504-88F9-FCFF63FB6633}"/>
    <hyperlink ref="C34" r:id="rId3" xr:uid="{0817DA44-EA37-44FE-BE75-7D1038BF2538}"/>
    <hyperlink ref="D44" r:id="rId4" xr:uid="{18B5E2EC-669C-4EE1-9E5C-6FAADBA3C54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6356-5A11-4BC7-8268-C809BC3B3055}">
  <sheetPr codeName="Arkusz2"/>
  <dimension ref="A2:BI1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RowHeight="14.4" x14ac:dyDescent="0.3"/>
  <cols>
    <col min="1" max="1" width="10.6640625" bestFit="1" customWidth="1"/>
    <col min="22" max="31" width="9.5546875" bestFit="1" customWidth="1"/>
    <col min="32" max="35" width="9.109375" bestFit="1" customWidth="1"/>
    <col min="36" max="36" width="9.44140625" bestFit="1" customWidth="1"/>
    <col min="37" max="40" width="9.109375" bestFit="1" customWidth="1"/>
  </cols>
  <sheetData>
    <row r="2" spans="1:61" x14ac:dyDescent="0.3">
      <c r="B2" s="10" t="s">
        <v>2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 t="s">
        <v>4</v>
      </c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 t="s">
        <v>11</v>
      </c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</row>
    <row r="3" spans="1:61" x14ac:dyDescent="0.3"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1</v>
      </c>
      <c r="W3" s="3">
        <v>2</v>
      </c>
      <c r="X3" s="3">
        <v>3</v>
      </c>
      <c r="Y3" s="3">
        <v>4</v>
      </c>
      <c r="Z3" s="3">
        <v>5</v>
      </c>
      <c r="AA3" s="3">
        <v>6</v>
      </c>
      <c r="AB3" s="3">
        <v>7</v>
      </c>
      <c r="AC3" s="3">
        <v>8</v>
      </c>
      <c r="AD3" s="3">
        <v>9</v>
      </c>
      <c r="AE3" s="3">
        <v>10</v>
      </c>
      <c r="AF3" s="3">
        <v>11</v>
      </c>
      <c r="AG3" s="3">
        <v>12</v>
      </c>
      <c r="AH3" s="3">
        <v>13</v>
      </c>
      <c r="AI3" s="3">
        <v>14</v>
      </c>
      <c r="AJ3" s="3">
        <v>15</v>
      </c>
      <c r="AK3" s="3">
        <v>16</v>
      </c>
      <c r="AL3" s="3">
        <v>17</v>
      </c>
      <c r="AM3" s="3">
        <v>18</v>
      </c>
      <c r="AN3" s="3">
        <v>19</v>
      </c>
      <c r="AO3" s="3">
        <v>20</v>
      </c>
      <c r="AP3" s="3">
        <v>1</v>
      </c>
      <c r="AQ3" s="3">
        <v>2</v>
      </c>
      <c r="AR3" s="3">
        <v>3</v>
      </c>
      <c r="AS3" s="3">
        <v>4</v>
      </c>
      <c r="AT3" s="3">
        <v>5</v>
      </c>
      <c r="AU3" s="3">
        <v>6</v>
      </c>
      <c r="AV3" s="3">
        <v>7</v>
      </c>
      <c r="AW3" s="3">
        <v>8</v>
      </c>
      <c r="AX3" s="3">
        <v>9</v>
      </c>
      <c r="AY3" s="3">
        <v>10</v>
      </c>
      <c r="AZ3" s="3">
        <v>11</v>
      </c>
      <c r="BA3" s="3">
        <v>12</v>
      </c>
      <c r="BB3" s="3">
        <v>13</v>
      </c>
      <c r="BC3" s="3">
        <v>14</v>
      </c>
      <c r="BD3" s="3">
        <v>15</v>
      </c>
      <c r="BE3" s="3">
        <v>16</v>
      </c>
      <c r="BF3" s="3">
        <v>17</v>
      </c>
      <c r="BG3" s="3">
        <v>18</v>
      </c>
      <c r="BH3" s="3">
        <v>19</v>
      </c>
      <c r="BI3" s="3">
        <v>20</v>
      </c>
    </row>
    <row r="4" spans="1:61" x14ac:dyDescent="0.3">
      <c r="A4" s="2">
        <v>44197</v>
      </c>
      <c r="B4" t="s">
        <v>30</v>
      </c>
      <c r="C4" t="s">
        <v>32</v>
      </c>
      <c r="D4" t="s">
        <v>33</v>
      </c>
      <c r="E4" t="s">
        <v>31</v>
      </c>
      <c r="F4" t="s">
        <v>34</v>
      </c>
      <c r="G4" t="s">
        <v>36</v>
      </c>
      <c r="H4" t="s">
        <v>39</v>
      </c>
      <c r="I4" t="s">
        <v>37</v>
      </c>
      <c r="J4" t="s">
        <v>38</v>
      </c>
      <c r="K4" t="s">
        <v>35</v>
      </c>
      <c r="L4" t="s">
        <v>42</v>
      </c>
      <c r="M4" t="s">
        <v>46</v>
      </c>
      <c r="N4" t="s">
        <v>40</v>
      </c>
      <c r="O4" t="s">
        <v>41</v>
      </c>
      <c r="P4" t="s">
        <v>49</v>
      </c>
      <c r="Q4" t="s">
        <v>43</v>
      </c>
      <c r="R4" t="s">
        <v>50</v>
      </c>
      <c r="S4" t="s">
        <v>47</v>
      </c>
      <c r="T4" t="s">
        <v>44</v>
      </c>
      <c r="U4" t="s">
        <v>45</v>
      </c>
      <c r="V4">
        <v>5856</v>
      </c>
      <c r="W4">
        <v>4119</v>
      </c>
      <c r="X4">
        <v>3326</v>
      </c>
      <c r="Y4">
        <v>1970</v>
      </c>
      <c r="Z4">
        <v>1811</v>
      </c>
      <c r="AA4">
        <v>1680</v>
      </c>
      <c r="AB4">
        <v>1578</v>
      </c>
      <c r="AC4">
        <v>1339</v>
      </c>
      <c r="AD4">
        <v>1219</v>
      </c>
      <c r="AE4">
        <v>1145</v>
      </c>
      <c r="AF4">
        <v>954</v>
      </c>
      <c r="AG4">
        <v>890</v>
      </c>
      <c r="AH4">
        <v>884</v>
      </c>
      <c r="AI4">
        <v>805</v>
      </c>
      <c r="AJ4">
        <v>737</v>
      </c>
      <c r="AK4">
        <v>667</v>
      </c>
      <c r="AL4">
        <v>602</v>
      </c>
      <c r="AM4">
        <v>543</v>
      </c>
      <c r="AN4">
        <v>448</v>
      </c>
      <c r="AO4">
        <v>447</v>
      </c>
      <c r="AP4">
        <v>0.18151385530965222</v>
      </c>
      <c r="AQ4">
        <v>0.12767342384229124</v>
      </c>
      <c r="AR4">
        <v>0.1030934226024425</v>
      </c>
      <c r="AS4">
        <v>6.1062550368855002E-2</v>
      </c>
      <c r="AT4">
        <v>5.613415163350071E-2</v>
      </c>
      <c r="AU4">
        <v>5.2073647015064159E-2</v>
      </c>
      <c r="AV4">
        <v>4.8912032732006692E-2</v>
      </c>
      <c r="AW4">
        <v>4.1503936519744593E-2</v>
      </c>
      <c r="AX4">
        <v>3.7784390304382867E-2</v>
      </c>
      <c r="AY4">
        <v>3.5490670138243134E-2</v>
      </c>
      <c r="AZ4">
        <v>2.957039241212572E-2</v>
      </c>
      <c r="BA4">
        <v>2.7586634430599468E-2</v>
      </c>
      <c r="BB4">
        <v>2.7400657119831379E-2</v>
      </c>
      <c r="BC4">
        <v>2.4951955861384913E-2</v>
      </c>
      <c r="BD4">
        <v>2.2844213006013265E-2</v>
      </c>
      <c r="BE4">
        <v>2.0674477713718928E-2</v>
      </c>
      <c r="BF4">
        <v>1.8659723513731324E-2</v>
      </c>
      <c r="BG4">
        <v>1.683094662451181E-2</v>
      </c>
      <c r="BH4">
        <v>1.3886305870683777E-2</v>
      </c>
      <c r="BI4">
        <v>1.3855309652222429E-2</v>
      </c>
    </row>
    <row r="5" spans="1:61" x14ac:dyDescent="0.3">
      <c r="A5" s="2">
        <v>44228</v>
      </c>
      <c r="B5" t="s">
        <v>30</v>
      </c>
      <c r="C5" t="s">
        <v>32</v>
      </c>
      <c r="D5" t="s">
        <v>33</v>
      </c>
      <c r="E5" t="s">
        <v>31</v>
      </c>
      <c r="F5" t="s">
        <v>34</v>
      </c>
      <c r="G5" t="s">
        <v>36</v>
      </c>
      <c r="H5" t="s">
        <v>39</v>
      </c>
      <c r="I5" t="s">
        <v>35</v>
      </c>
      <c r="J5" t="s">
        <v>38</v>
      </c>
      <c r="K5" t="s">
        <v>37</v>
      </c>
      <c r="L5" t="s">
        <v>42</v>
      </c>
      <c r="M5" t="s">
        <v>43</v>
      </c>
      <c r="N5" t="s">
        <v>40</v>
      </c>
      <c r="O5" t="s">
        <v>46</v>
      </c>
      <c r="P5" t="s">
        <v>41</v>
      </c>
      <c r="Q5" t="s">
        <v>49</v>
      </c>
      <c r="R5" t="s">
        <v>47</v>
      </c>
      <c r="S5" t="s">
        <v>45</v>
      </c>
      <c r="T5" t="s">
        <v>50</v>
      </c>
      <c r="U5" t="s">
        <v>44</v>
      </c>
      <c r="V5">
        <v>6635</v>
      </c>
      <c r="W5">
        <v>4733</v>
      </c>
      <c r="X5">
        <v>2969</v>
      </c>
      <c r="Y5">
        <v>2357</v>
      </c>
      <c r="Z5">
        <v>1879</v>
      </c>
      <c r="AA5">
        <v>1745</v>
      </c>
      <c r="AB5">
        <v>1661</v>
      </c>
      <c r="AC5">
        <v>1978</v>
      </c>
      <c r="AD5">
        <v>1646</v>
      </c>
      <c r="AE5">
        <v>1351</v>
      </c>
      <c r="AF5">
        <v>1462</v>
      </c>
      <c r="AG5">
        <v>1329</v>
      </c>
      <c r="AH5">
        <v>1084</v>
      </c>
      <c r="AI5">
        <v>907</v>
      </c>
      <c r="AJ5">
        <v>955</v>
      </c>
      <c r="AK5">
        <v>705</v>
      </c>
      <c r="AL5">
        <v>820</v>
      </c>
      <c r="AM5">
        <v>707</v>
      </c>
      <c r="AN5">
        <v>506</v>
      </c>
      <c r="AO5">
        <v>475</v>
      </c>
      <c r="AP5">
        <v>0.17574296763256875</v>
      </c>
      <c r="AQ5">
        <v>0.12536419981988664</v>
      </c>
      <c r="AR5">
        <v>7.8640673835884939E-2</v>
      </c>
      <c r="AS5">
        <v>6.2430470943476188E-2</v>
      </c>
      <c r="AT5">
        <v>4.9769560841235364E-2</v>
      </c>
      <c r="AU5">
        <v>4.6220268051067437E-2</v>
      </c>
      <c r="AV5">
        <v>4.3995338242305448E-2</v>
      </c>
      <c r="AW5">
        <v>5.2391799544419138E-2</v>
      </c>
      <c r="AX5">
        <v>4.359802934788367E-2</v>
      </c>
      <c r="AY5">
        <v>3.5784287757588601E-2</v>
      </c>
      <c r="AZ5">
        <v>3.8724373576309798E-2</v>
      </c>
      <c r="BA5">
        <v>3.5201568045769988E-2</v>
      </c>
      <c r="BB5">
        <v>2.871218943688086E-2</v>
      </c>
      <c r="BC5">
        <v>2.402394448270382E-2</v>
      </c>
      <c r="BD5">
        <v>2.5295332944853526E-2</v>
      </c>
      <c r="BE5">
        <v>1.8673518037823807E-2</v>
      </c>
      <c r="BF5">
        <v>2.1719552895057476E-2</v>
      </c>
      <c r="BG5">
        <v>1.8726492557080046E-2</v>
      </c>
      <c r="BH5">
        <v>1.3402553371828151E-2</v>
      </c>
      <c r="BI5">
        <v>1.2581448323356465E-2</v>
      </c>
    </row>
    <row r="6" spans="1:61" x14ac:dyDescent="0.3">
      <c r="A6" s="2">
        <v>44256</v>
      </c>
      <c r="B6" t="s">
        <v>30</v>
      </c>
      <c r="C6" t="s">
        <v>32</v>
      </c>
      <c r="D6" t="s">
        <v>33</v>
      </c>
      <c r="E6" t="s">
        <v>31</v>
      </c>
      <c r="F6" t="s">
        <v>34</v>
      </c>
      <c r="G6" t="s">
        <v>39</v>
      </c>
      <c r="H6" t="s">
        <v>36</v>
      </c>
      <c r="I6" t="s">
        <v>35</v>
      </c>
      <c r="J6" t="s">
        <v>38</v>
      </c>
      <c r="K6" t="s">
        <v>37</v>
      </c>
      <c r="L6" t="s">
        <v>42</v>
      </c>
      <c r="M6" t="s">
        <v>43</v>
      </c>
      <c r="N6" t="s">
        <v>40</v>
      </c>
      <c r="O6" t="s">
        <v>41</v>
      </c>
      <c r="P6" t="s">
        <v>46</v>
      </c>
      <c r="Q6" t="s">
        <v>47</v>
      </c>
      <c r="R6" t="s">
        <v>49</v>
      </c>
      <c r="S6" t="s">
        <v>45</v>
      </c>
      <c r="T6" t="s">
        <v>50</v>
      </c>
      <c r="U6" t="s">
        <v>44</v>
      </c>
      <c r="V6">
        <v>7902</v>
      </c>
      <c r="W6">
        <v>6219</v>
      </c>
      <c r="X6">
        <v>3768</v>
      </c>
      <c r="Y6">
        <v>2762</v>
      </c>
      <c r="Z6">
        <v>2390</v>
      </c>
      <c r="AA6">
        <v>2235</v>
      </c>
      <c r="AB6">
        <v>1953</v>
      </c>
      <c r="AC6">
        <v>2190</v>
      </c>
      <c r="AD6">
        <v>2131</v>
      </c>
      <c r="AE6">
        <v>1773</v>
      </c>
      <c r="AF6">
        <v>1652</v>
      </c>
      <c r="AG6">
        <v>1829</v>
      </c>
      <c r="AH6">
        <v>1587</v>
      </c>
      <c r="AI6">
        <v>1412</v>
      </c>
      <c r="AJ6">
        <v>1025</v>
      </c>
      <c r="AK6">
        <v>1181</v>
      </c>
      <c r="AL6">
        <v>820</v>
      </c>
      <c r="AM6">
        <v>1012</v>
      </c>
      <c r="AN6">
        <v>532</v>
      </c>
      <c r="AO6">
        <v>539</v>
      </c>
      <c r="AP6">
        <v>0.1651445171267947</v>
      </c>
      <c r="AQ6">
        <v>0.12997136826265962</v>
      </c>
      <c r="AR6">
        <v>7.8747727225229366E-2</v>
      </c>
      <c r="AS6">
        <v>5.7723254404480763E-2</v>
      </c>
      <c r="AT6">
        <v>4.9948797258040918E-2</v>
      </c>
      <c r="AU6">
        <v>4.6709440113690985E-2</v>
      </c>
      <c r="AV6">
        <v>4.0815900018809172E-2</v>
      </c>
      <c r="AW6">
        <v>4.5768981587911976E-2</v>
      </c>
      <c r="AX6">
        <v>4.4535935965223934E-2</v>
      </c>
      <c r="AY6">
        <v>3.7054065915693116E-2</v>
      </c>
      <c r="AZ6">
        <v>3.4525277435265102E-2</v>
      </c>
      <c r="BA6">
        <v>3.8224414303329221E-2</v>
      </c>
      <c r="BB6">
        <v>3.31668373424732E-2</v>
      </c>
      <c r="BC6">
        <v>2.9509498631110367E-2</v>
      </c>
      <c r="BD6">
        <v>2.1421555309410856E-2</v>
      </c>
      <c r="BE6">
        <v>2.4681811532111433E-2</v>
      </c>
      <c r="BF6">
        <v>1.7137244247528684E-2</v>
      </c>
      <c r="BG6">
        <v>2.1149867290852473E-2</v>
      </c>
      <c r="BH6">
        <v>1.1118309682542999E-2</v>
      </c>
      <c r="BI6">
        <v>1.1264603230997513E-2</v>
      </c>
    </row>
    <row r="7" spans="1:61" x14ac:dyDescent="0.3">
      <c r="A7" s="2">
        <v>44287</v>
      </c>
      <c r="B7" t="s">
        <v>30</v>
      </c>
      <c r="C7" t="s">
        <v>32</v>
      </c>
      <c r="D7" t="s">
        <v>33</v>
      </c>
      <c r="E7" t="s">
        <v>31</v>
      </c>
      <c r="F7" t="s">
        <v>34</v>
      </c>
      <c r="G7" t="s">
        <v>35</v>
      </c>
      <c r="H7" t="s">
        <v>39</v>
      </c>
      <c r="I7" t="s">
        <v>36</v>
      </c>
      <c r="J7" t="s">
        <v>38</v>
      </c>
      <c r="K7" t="s">
        <v>37</v>
      </c>
      <c r="L7" t="s">
        <v>42</v>
      </c>
      <c r="M7" t="s">
        <v>43</v>
      </c>
      <c r="N7" t="s">
        <v>40</v>
      </c>
      <c r="O7" t="s">
        <v>41</v>
      </c>
      <c r="P7" t="s">
        <v>46</v>
      </c>
      <c r="Q7" t="s">
        <v>47</v>
      </c>
      <c r="R7" t="s">
        <v>49</v>
      </c>
      <c r="S7" t="s">
        <v>45</v>
      </c>
      <c r="T7" t="s">
        <v>44</v>
      </c>
      <c r="U7" t="s">
        <v>50</v>
      </c>
      <c r="V7">
        <v>7053</v>
      </c>
      <c r="W7">
        <v>4800</v>
      </c>
      <c r="X7">
        <v>3677</v>
      </c>
      <c r="Y7">
        <v>2487</v>
      </c>
      <c r="Z7">
        <v>2133</v>
      </c>
      <c r="AA7">
        <v>2094</v>
      </c>
      <c r="AB7">
        <v>1898</v>
      </c>
      <c r="AC7">
        <v>1821</v>
      </c>
      <c r="AD7">
        <v>1635</v>
      </c>
      <c r="AE7">
        <v>1540</v>
      </c>
      <c r="AF7">
        <v>1228</v>
      </c>
      <c r="AG7">
        <v>1111</v>
      </c>
      <c r="AH7">
        <v>910</v>
      </c>
      <c r="AI7">
        <v>1129</v>
      </c>
      <c r="AJ7">
        <v>732</v>
      </c>
      <c r="AK7">
        <v>664</v>
      </c>
      <c r="AL7">
        <v>876</v>
      </c>
      <c r="AM7">
        <v>838</v>
      </c>
      <c r="AN7">
        <v>696</v>
      </c>
      <c r="AO7">
        <v>438</v>
      </c>
      <c r="AP7">
        <v>0.17567062691474258</v>
      </c>
      <c r="AQ7">
        <v>0.11955465889561384</v>
      </c>
      <c r="AR7">
        <v>9.1583850158160854E-2</v>
      </c>
      <c r="AS7">
        <v>6.1944257640289921E-2</v>
      </c>
      <c r="AT7">
        <v>5.3127101546738401E-2</v>
      </c>
      <c r="AU7">
        <v>5.215571994321154E-2</v>
      </c>
      <c r="AV7">
        <v>4.7273904704973974E-2</v>
      </c>
      <c r="AW7">
        <v>4.5356048718523501E-2</v>
      </c>
      <c r="AX7">
        <v>4.0723305686318462E-2</v>
      </c>
      <c r="AY7">
        <v>3.8357119729009438E-2</v>
      </c>
      <c r="AZ7">
        <v>3.0586066900794542E-2</v>
      </c>
      <c r="BA7">
        <v>2.7671922090213952E-2</v>
      </c>
      <c r="BB7">
        <v>2.2665570748960123E-2</v>
      </c>
      <c r="BC7">
        <v>2.8120252061072507E-2</v>
      </c>
      <c r="BD7">
        <v>1.823208548158111E-2</v>
      </c>
      <c r="BE7">
        <v>1.6538394480559913E-2</v>
      </c>
      <c r="BF7">
        <v>2.1818725248449525E-2</v>
      </c>
      <c r="BG7">
        <v>2.0872250865525917E-2</v>
      </c>
      <c r="BH7">
        <v>1.7335425539864006E-2</v>
      </c>
      <c r="BI7">
        <v>1.0909362624224763E-2</v>
      </c>
    </row>
    <row r="8" spans="1:61" x14ac:dyDescent="0.3">
      <c r="A8" s="2">
        <v>44317</v>
      </c>
      <c r="B8" t="s">
        <v>30</v>
      </c>
      <c r="C8" t="s">
        <v>32</v>
      </c>
      <c r="D8" t="s">
        <v>33</v>
      </c>
      <c r="E8" t="s">
        <v>31</v>
      </c>
      <c r="F8" t="s">
        <v>34</v>
      </c>
      <c r="G8" t="s">
        <v>35</v>
      </c>
      <c r="H8" t="s">
        <v>39</v>
      </c>
      <c r="I8" t="s">
        <v>36</v>
      </c>
      <c r="J8" t="s">
        <v>38</v>
      </c>
      <c r="K8" t="s">
        <v>37</v>
      </c>
      <c r="L8" t="s">
        <v>42</v>
      </c>
      <c r="M8" t="s">
        <v>40</v>
      </c>
      <c r="N8" t="s">
        <v>43</v>
      </c>
      <c r="O8" t="s">
        <v>41</v>
      </c>
      <c r="P8" t="s">
        <v>46</v>
      </c>
      <c r="Q8" t="s">
        <v>49</v>
      </c>
      <c r="R8" t="s">
        <v>45</v>
      </c>
      <c r="S8" t="s">
        <v>47</v>
      </c>
      <c r="T8" t="s">
        <v>44</v>
      </c>
      <c r="U8" t="s">
        <v>50</v>
      </c>
      <c r="V8">
        <v>6264</v>
      </c>
      <c r="W8">
        <v>4660</v>
      </c>
      <c r="X8">
        <v>3406</v>
      </c>
      <c r="Y8">
        <v>2792</v>
      </c>
      <c r="Z8">
        <v>2295</v>
      </c>
      <c r="AA8">
        <v>2425</v>
      </c>
      <c r="AB8">
        <v>1736</v>
      </c>
      <c r="AC8">
        <v>1882</v>
      </c>
      <c r="AD8">
        <v>1972</v>
      </c>
      <c r="AE8">
        <v>1587</v>
      </c>
      <c r="AF8">
        <v>1325</v>
      </c>
      <c r="AG8">
        <v>1513</v>
      </c>
      <c r="AH8">
        <v>1021</v>
      </c>
      <c r="AI8">
        <v>1326</v>
      </c>
      <c r="AJ8">
        <v>977</v>
      </c>
      <c r="AK8">
        <v>856</v>
      </c>
      <c r="AL8">
        <v>877</v>
      </c>
      <c r="AM8">
        <v>664</v>
      </c>
      <c r="AN8">
        <v>746</v>
      </c>
      <c r="AO8">
        <v>490</v>
      </c>
      <c r="AP8">
        <v>0.15134821687445638</v>
      </c>
      <c r="AQ8">
        <v>0.11259302213201894</v>
      </c>
      <c r="AR8">
        <v>8.2294384845849042E-2</v>
      </c>
      <c r="AS8">
        <v>6.7459166908282589E-2</v>
      </c>
      <c r="AT8">
        <v>5.5450855320382721E-2</v>
      </c>
      <c r="AU8">
        <v>5.8591862375567801E-2</v>
      </c>
      <c r="AV8">
        <v>4.1944524983086887E-2</v>
      </c>
      <c r="AW8">
        <v>4.547211752198705E-2</v>
      </c>
      <c r="AX8">
        <v>4.7646660867884411E-2</v>
      </c>
      <c r="AY8">
        <v>3.8344447665990142E-2</v>
      </c>
      <c r="AZ8">
        <v>3.2014110370155599E-2</v>
      </c>
      <c r="BA8">
        <v>3.6556489803807865E-2</v>
      </c>
      <c r="BB8">
        <v>2.4668986179568957E-2</v>
      </c>
      <c r="BC8">
        <v>3.203827196288779E-2</v>
      </c>
      <c r="BD8">
        <v>2.3605876099352469E-2</v>
      </c>
      <c r="BE8">
        <v>2.0682323378757129E-2</v>
      </c>
      <c r="BF8">
        <v>2.118971682613318E-2</v>
      </c>
      <c r="BG8">
        <v>1.604329757417609E-2</v>
      </c>
      <c r="BH8">
        <v>1.8024548178215909E-2</v>
      </c>
      <c r="BI8">
        <v>1.1839180438774523E-2</v>
      </c>
    </row>
    <row r="9" spans="1:61" x14ac:dyDescent="0.3">
      <c r="A9" s="2">
        <v>44348</v>
      </c>
      <c r="B9" t="s">
        <v>30</v>
      </c>
      <c r="C9" t="s">
        <v>32</v>
      </c>
      <c r="D9" t="s">
        <v>33</v>
      </c>
      <c r="E9" t="s">
        <v>31</v>
      </c>
      <c r="F9" t="s">
        <v>34</v>
      </c>
      <c r="G9" t="s">
        <v>35</v>
      </c>
      <c r="H9" t="s">
        <v>39</v>
      </c>
      <c r="I9" t="s">
        <v>36</v>
      </c>
      <c r="J9" t="s">
        <v>38</v>
      </c>
      <c r="K9" t="s">
        <v>37</v>
      </c>
      <c r="L9" t="s">
        <v>42</v>
      </c>
      <c r="M9" t="s">
        <v>40</v>
      </c>
      <c r="N9" t="s">
        <v>43</v>
      </c>
      <c r="O9" t="s">
        <v>41</v>
      </c>
      <c r="P9" t="s">
        <v>46</v>
      </c>
      <c r="Q9" t="s">
        <v>49</v>
      </c>
      <c r="R9" t="s">
        <v>45</v>
      </c>
      <c r="S9" t="s">
        <v>47</v>
      </c>
      <c r="T9" t="s">
        <v>48</v>
      </c>
      <c r="U9" t="s">
        <v>44</v>
      </c>
      <c r="V9">
        <v>6928</v>
      </c>
      <c r="W9">
        <v>4092</v>
      </c>
      <c r="X9">
        <v>3329</v>
      </c>
      <c r="Y9">
        <v>3419</v>
      </c>
      <c r="Z9">
        <v>2023</v>
      </c>
      <c r="AA9">
        <v>2669</v>
      </c>
      <c r="AB9">
        <v>1607</v>
      </c>
      <c r="AC9">
        <v>1598</v>
      </c>
      <c r="AD9">
        <v>1956</v>
      </c>
      <c r="AE9">
        <v>2401</v>
      </c>
      <c r="AF9">
        <v>1790</v>
      </c>
      <c r="AG9">
        <v>2060</v>
      </c>
      <c r="AH9">
        <v>1025</v>
      </c>
      <c r="AI9">
        <v>1006</v>
      </c>
      <c r="AJ9">
        <v>1077</v>
      </c>
      <c r="AK9">
        <v>1082</v>
      </c>
      <c r="AL9">
        <v>665</v>
      </c>
      <c r="AM9">
        <v>495</v>
      </c>
      <c r="AN9">
        <v>1257</v>
      </c>
      <c r="AO9">
        <v>757</v>
      </c>
      <c r="AP9">
        <v>0.15849557319667817</v>
      </c>
      <c r="AQ9">
        <v>9.3614879549770075E-2</v>
      </c>
      <c r="AR9">
        <v>7.6159319164512365E-2</v>
      </c>
      <c r="AS9">
        <v>7.8218297453730184E-2</v>
      </c>
      <c r="AT9">
        <v>4.6281256434307153E-2</v>
      </c>
      <c r="AU9">
        <v>6.1060145043581704E-2</v>
      </c>
      <c r="AV9">
        <v>3.6764201230811464E-2</v>
      </c>
      <c r="AW9">
        <v>3.6558303401889682E-2</v>
      </c>
      <c r="AX9">
        <v>4.4748461485667225E-2</v>
      </c>
      <c r="AY9">
        <v>5.4928965249021987E-2</v>
      </c>
      <c r="AZ9">
        <v>4.0950790418887696E-2</v>
      </c>
      <c r="BA9">
        <v>4.7127725286541147E-2</v>
      </c>
      <c r="BB9">
        <v>2.3449474960536249E-2</v>
      </c>
      <c r="BC9">
        <v>2.3014801766145822E-2</v>
      </c>
      <c r="BD9">
        <v>2.463910686097321E-2</v>
      </c>
      <c r="BE9">
        <v>2.4753494543707535E-2</v>
      </c>
      <c r="BF9">
        <v>1.521356180366498E-2</v>
      </c>
      <c r="BG9">
        <v>1.1324380590697994E-2</v>
      </c>
      <c r="BH9">
        <v>2.8757063439408845E-2</v>
      </c>
      <c r="BI9">
        <v>1.7318295165976529E-2</v>
      </c>
    </row>
    <row r="10" spans="1:61" x14ac:dyDescent="0.3">
      <c r="A10" s="2">
        <v>44378</v>
      </c>
      <c r="B10" t="s">
        <v>30</v>
      </c>
      <c r="C10" t="s">
        <v>32</v>
      </c>
      <c r="D10" t="s">
        <v>33</v>
      </c>
      <c r="E10" t="s">
        <v>31</v>
      </c>
      <c r="F10" t="s">
        <v>35</v>
      </c>
      <c r="G10" t="s">
        <v>34</v>
      </c>
      <c r="H10" t="s">
        <v>38</v>
      </c>
      <c r="I10" t="s">
        <v>39</v>
      </c>
      <c r="J10" t="s">
        <v>37</v>
      </c>
      <c r="K10" t="s">
        <v>36</v>
      </c>
      <c r="L10" t="s">
        <v>40</v>
      </c>
      <c r="M10" t="s">
        <v>42</v>
      </c>
      <c r="N10" t="s">
        <v>43</v>
      </c>
      <c r="O10" t="s">
        <v>41</v>
      </c>
      <c r="P10" t="s">
        <v>46</v>
      </c>
      <c r="Q10" t="s">
        <v>49</v>
      </c>
      <c r="R10" t="s">
        <v>45</v>
      </c>
      <c r="S10" t="s">
        <v>48</v>
      </c>
      <c r="T10" t="s">
        <v>47</v>
      </c>
      <c r="U10" t="s">
        <v>44</v>
      </c>
      <c r="V10">
        <v>5839</v>
      </c>
      <c r="W10">
        <v>3782</v>
      </c>
      <c r="X10">
        <v>2938</v>
      </c>
      <c r="Y10">
        <v>3332</v>
      </c>
      <c r="Z10">
        <v>2801</v>
      </c>
      <c r="AA10">
        <v>2036</v>
      </c>
      <c r="AB10">
        <v>2036</v>
      </c>
      <c r="AC10">
        <v>1619</v>
      </c>
      <c r="AD10">
        <v>2125</v>
      </c>
      <c r="AE10">
        <v>1402</v>
      </c>
      <c r="AF10">
        <v>1318</v>
      </c>
      <c r="AG10">
        <v>896</v>
      </c>
      <c r="AH10">
        <v>864</v>
      </c>
      <c r="AI10">
        <v>496</v>
      </c>
      <c r="AJ10">
        <v>1054</v>
      </c>
      <c r="AK10">
        <v>917</v>
      </c>
      <c r="AL10">
        <v>758</v>
      </c>
      <c r="AM10">
        <v>1136</v>
      </c>
      <c r="AN10">
        <v>466</v>
      </c>
      <c r="AO10">
        <v>743</v>
      </c>
      <c r="AP10">
        <v>0.15029987901876496</v>
      </c>
      <c r="AQ10">
        <v>9.7351283173312056E-2</v>
      </c>
      <c r="AR10">
        <v>7.5626142243043579E-2</v>
      </c>
      <c r="AS10">
        <v>8.5767973435609671E-2</v>
      </c>
      <c r="AT10">
        <v>7.2099667945120849E-2</v>
      </c>
      <c r="AU10">
        <v>5.2408041391026797E-2</v>
      </c>
      <c r="AV10">
        <v>5.2408041391026797E-2</v>
      </c>
      <c r="AW10">
        <v>4.1674174367422587E-2</v>
      </c>
      <c r="AX10">
        <v>5.4698962650261265E-2</v>
      </c>
      <c r="AY10">
        <v>3.6088445005019433E-2</v>
      </c>
      <c r="AZ10">
        <v>3.3926227187314986E-2</v>
      </c>
      <c r="BA10">
        <v>2.3063656722180751E-2</v>
      </c>
      <c r="BB10">
        <v>2.2239954696388581E-2</v>
      </c>
      <c r="BC10">
        <v>1.276738139977863E-2</v>
      </c>
      <c r="BD10">
        <v>2.7130685474529587E-2</v>
      </c>
      <c r="BE10">
        <v>2.3604211176606861E-2</v>
      </c>
      <c r="BF10">
        <v>1.9511441735952019E-2</v>
      </c>
      <c r="BG10">
        <v>2.9241421915622023E-2</v>
      </c>
      <c r="BH10">
        <v>1.1995160750598472E-2</v>
      </c>
      <c r="BI10">
        <v>1.912533141136194E-2</v>
      </c>
    </row>
    <row r="11" spans="1:61" x14ac:dyDescent="0.3">
      <c r="A11" s="2">
        <v>44409</v>
      </c>
      <c r="B11" t="s">
        <v>30</v>
      </c>
      <c r="C11" t="s">
        <v>32</v>
      </c>
      <c r="D11" t="s">
        <v>33</v>
      </c>
      <c r="E11" t="s">
        <v>31</v>
      </c>
      <c r="F11" t="s">
        <v>35</v>
      </c>
      <c r="G11" t="s">
        <v>34</v>
      </c>
      <c r="H11" t="s">
        <v>38</v>
      </c>
      <c r="I11" t="s">
        <v>39</v>
      </c>
      <c r="J11" t="s">
        <v>37</v>
      </c>
      <c r="K11" t="s">
        <v>36</v>
      </c>
      <c r="L11" t="s">
        <v>40</v>
      </c>
      <c r="M11" t="s">
        <v>42</v>
      </c>
      <c r="N11" t="s">
        <v>43</v>
      </c>
      <c r="O11" t="s">
        <v>41</v>
      </c>
      <c r="P11" t="s">
        <v>46</v>
      </c>
      <c r="Q11" t="s">
        <v>49</v>
      </c>
      <c r="R11" t="s">
        <v>48</v>
      </c>
      <c r="S11" t="s">
        <v>45</v>
      </c>
      <c r="T11" t="s">
        <v>47</v>
      </c>
      <c r="U11" t="s">
        <v>44</v>
      </c>
      <c r="V11">
        <v>5256</v>
      </c>
      <c r="W11">
        <v>2732</v>
      </c>
      <c r="X11">
        <v>2068</v>
      </c>
      <c r="Y11">
        <v>2985</v>
      </c>
      <c r="Z11">
        <v>2723</v>
      </c>
      <c r="AA11">
        <v>1960</v>
      </c>
      <c r="AB11">
        <v>1554</v>
      </c>
      <c r="AC11">
        <v>1448</v>
      </c>
      <c r="AD11">
        <v>1580</v>
      </c>
      <c r="AE11">
        <v>1140</v>
      </c>
      <c r="AF11">
        <v>1094</v>
      </c>
      <c r="AG11">
        <v>740</v>
      </c>
      <c r="AH11">
        <v>524</v>
      </c>
      <c r="AI11">
        <v>506</v>
      </c>
      <c r="AJ11">
        <v>936</v>
      </c>
      <c r="AK11">
        <v>810</v>
      </c>
      <c r="AL11">
        <v>1301</v>
      </c>
      <c r="AM11">
        <v>353</v>
      </c>
      <c r="AN11">
        <v>470</v>
      </c>
      <c r="AO11">
        <v>642</v>
      </c>
      <c r="AP11">
        <v>0.15822746703594437</v>
      </c>
      <c r="AQ11">
        <v>8.2244566199048713E-2</v>
      </c>
      <c r="AR11">
        <v>6.2255403696790897E-2</v>
      </c>
      <c r="AS11">
        <v>8.9860918778975257E-2</v>
      </c>
      <c r="AT11">
        <v>8.1973628755494007E-2</v>
      </c>
      <c r="AU11">
        <v>5.9004154374134504E-2</v>
      </c>
      <c r="AV11">
        <v>4.6781865253778074E-2</v>
      </c>
      <c r="AW11">
        <v>4.3590824251911617E-2</v>
      </c>
      <c r="AX11">
        <v>4.7564573424047206E-2</v>
      </c>
      <c r="AY11">
        <v>3.4318742850261909E-2</v>
      </c>
      <c r="AZ11">
        <v>3.2933951472093444E-2</v>
      </c>
      <c r="BA11">
        <v>2.2277078692275274E-2</v>
      </c>
      <c r="BB11">
        <v>1.5774580046962489E-2</v>
      </c>
      <c r="BC11">
        <v>1.5232705159853092E-2</v>
      </c>
      <c r="BD11">
        <v>2.8177494129688722E-2</v>
      </c>
      <c r="BE11">
        <v>2.4384369919922932E-2</v>
      </c>
      <c r="BF11">
        <v>3.916551267385153E-2</v>
      </c>
      <c r="BG11">
        <v>1.0626768619423204E-2</v>
      </c>
      <c r="BH11">
        <v>1.4148955385634295E-2</v>
      </c>
      <c r="BI11">
        <v>1.9326870973568548E-2</v>
      </c>
    </row>
    <row r="12" spans="1:61" x14ac:dyDescent="0.3">
      <c r="A12" s="2">
        <v>44440</v>
      </c>
      <c r="B12" t="s">
        <v>30</v>
      </c>
      <c r="C12" t="s">
        <v>32</v>
      </c>
      <c r="D12" t="s">
        <v>33</v>
      </c>
      <c r="E12" t="s">
        <v>31</v>
      </c>
      <c r="F12" t="s">
        <v>35</v>
      </c>
      <c r="G12" t="s">
        <v>34</v>
      </c>
      <c r="H12" t="s">
        <v>38</v>
      </c>
      <c r="I12" t="s">
        <v>39</v>
      </c>
      <c r="J12" t="s">
        <v>37</v>
      </c>
      <c r="K12" t="s">
        <v>36</v>
      </c>
      <c r="L12" t="s">
        <v>40</v>
      </c>
      <c r="M12" t="s">
        <v>42</v>
      </c>
      <c r="N12" t="s">
        <v>43</v>
      </c>
      <c r="O12" t="s">
        <v>46</v>
      </c>
      <c r="P12" t="s">
        <v>41</v>
      </c>
      <c r="Q12" t="s">
        <v>49</v>
      </c>
      <c r="R12" t="s">
        <v>48</v>
      </c>
      <c r="S12" t="s">
        <v>45</v>
      </c>
      <c r="T12" t="s">
        <v>47</v>
      </c>
      <c r="U12" t="s">
        <v>44</v>
      </c>
      <c r="V12">
        <v>5406</v>
      </c>
      <c r="W12">
        <v>2322</v>
      </c>
      <c r="X12">
        <v>1814</v>
      </c>
      <c r="Y12">
        <v>3424</v>
      </c>
      <c r="Z12">
        <v>2442</v>
      </c>
      <c r="AA12">
        <v>1878</v>
      </c>
      <c r="AB12">
        <v>1085</v>
      </c>
      <c r="AC12">
        <v>1136</v>
      </c>
      <c r="AD12">
        <v>1131</v>
      </c>
      <c r="AE12">
        <v>1564</v>
      </c>
      <c r="AF12">
        <v>1754</v>
      </c>
      <c r="AG12">
        <v>1663</v>
      </c>
      <c r="AH12">
        <v>586</v>
      </c>
      <c r="AI12">
        <v>808</v>
      </c>
      <c r="AJ12">
        <v>500</v>
      </c>
      <c r="AK12">
        <v>559</v>
      </c>
      <c r="AL12">
        <v>792</v>
      </c>
      <c r="AM12">
        <v>445</v>
      </c>
      <c r="AN12">
        <v>585</v>
      </c>
      <c r="AO12">
        <v>693</v>
      </c>
      <c r="AP12">
        <v>0.16339730995919602</v>
      </c>
      <c r="AQ12">
        <v>7.0182862324316156E-2</v>
      </c>
      <c r="AR12">
        <v>5.4828472117273687E-2</v>
      </c>
      <c r="AS12">
        <v>0.10349100800967205</v>
      </c>
      <c r="AT12">
        <v>7.3809883633066342E-2</v>
      </c>
      <c r="AU12">
        <v>5.676288348194046E-2</v>
      </c>
      <c r="AV12">
        <v>3.2794317666616293E-2</v>
      </c>
      <c r="AW12">
        <v>3.4335801722835124E-2</v>
      </c>
      <c r="AX12">
        <v>3.4184675834970528E-2</v>
      </c>
      <c r="AY12">
        <v>4.7272177724044129E-2</v>
      </c>
      <c r="AZ12">
        <v>5.3014961462898594E-2</v>
      </c>
      <c r="BA12">
        <v>5.0264470303763034E-2</v>
      </c>
      <c r="BB12">
        <v>1.771195405773009E-2</v>
      </c>
      <c r="BC12">
        <v>2.4421943478917938E-2</v>
      </c>
      <c r="BD12">
        <v>1.511258878645912E-2</v>
      </c>
      <c r="BE12">
        <v>1.6895874263261296E-2</v>
      </c>
      <c r="BF12">
        <v>2.3938340637751247E-2</v>
      </c>
      <c r="BG12">
        <v>1.3450204019948618E-2</v>
      </c>
      <c r="BH12">
        <v>1.768172888015717E-2</v>
      </c>
      <c r="BI12">
        <v>2.0946048058032341E-2</v>
      </c>
    </row>
    <row r="13" spans="1:61" x14ac:dyDescent="0.3">
      <c r="A13" s="2">
        <v>44470</v>
      </c>
      <c r="B13" t="s">
        <v>30</v>
      </c>
      <c r="C13" t="s">
        <v>32</v>
      </c>
      <c r="D13" t="s">
        <v>33</v>
      </c>
      <c r="E13" t="s">
        <v>31</v>
      </c>
      <c r="F13" t="s">
        <v>35</v>
      </c>
      <c r="G13" t="s">
        <v>34</v>
      </c>
      <c r="H13" t="s">
        <v>39</v>
      </c>
      <c r="I13" t="s">
        <v>38</v>
      </c>
      <c r="J13" t="s">
        <v>36</v>
      </c>
      <c r="K13" t="s">
        <v>37</v>
      </c>
      <c r="L13" t="s">
        <v>40</v>
      </c>
      <c r="M13" t="s">
        <v>42</v>
      </c>
      <c r="N13" t="s">
        <v>43</v>
      </c>
      <c r="O13" t="s">
        <v>46</v>
      </c>
      <c r="P13" t="s">
        <v>41</v>
      </c>
      <c r="Q13" t="s">
        <v>48</v>
      </c>
      <c r="R13" t="s">
        <v>49</v>
      </c>
      <c r="S13" t="s">
        <v>45</v>
      </c>
      <c r="T13" t="s">
        <v>47</v>
      </c>
      <c r="U13" t="s">
        <v>44</v>
      </c>
      <c r="V13">
        <v>4833</v>
      </c>
      <c r="W13">
        <v>2072</v>
      </c>
      <c r="X13">
        <v>1901</v>
      </c>
      <c r="Y13">
        <v>2773</v>
      </c>
      <c r="Z13">
        <v>2162</v>
      </c>
      <c r="AA13">
        <v>1928</v>
      </c>
      <c r="AB13">
        <v>1527</v>
      </c>
      <c r="AC13">
        <v>896</v>
      </c>
      <c r="AD13">
        <v>1690</v>
      </c>
      <c r="AE13">
        <v>971</v>
      </c>
      <c r="AF13">
        <v>1494</v>
      </c>
      <c r="AG13">
        <v>1423</v>
      </c>
      <c r="AH13">
        <v>782</v>
      </c>
      <c r="AI13">
        <v>849</v>
      </c>
      <c r="AJ13">
        <v>599</v>
      </c>
      <c r="AK13">
        <v>909</v>
      </c>
      <c r="AL13">
        <v>305</v>
      </c>
      <c r="AM13">
        <v>497</v>
      </c>
      <c r="AN13">
        <v>630</v>
      </c>
      <c r="AO13">
        <v>699</v>
      </c>
      <c r="AP13">
        <v>0.15461147189609392</v>
      </c>
      <c r="AQ13">
        <v>6.6284909945935569E-2</v>
      </c>
      <c r="AR13">
        <v>6.0814485428196681E-2</v>
      </c>
      <c r="AS13">
        <v>8.8710451389999681E-2</v>
      </c>
      <c r="AT13">
        <v>6.9164080744745518E-2</v>
      </c>
      <c r="AU13">
        <v>6.1678236667839663E-2</v>
      </c>
      <c r="AV13">
        <v>4.8849931219808698E-2</v>
      </c>
      <c r="AW13">
        <v>2.8663744841485653E-2</v>
      </c>
      <c r="AX13">
        <v>5.4064429444320036E-2</v>
      </c>
      <c r="AY13">
        <v>3.1063053840493939E-2</v>
      </c>
      <c r="AZ13">
        <v>4.7794235260245052E-2</v>
      </c>
      <c r="BA13">
        <v>4.5522889407850542E-2</v>
      </c>
      <c r="BB13">
        <v>2.5016795162993058E-2</v>
      </c>
      <c r="BC13">
        <v>2.7160177868773793E-2</v>
      </c>
      <c r="BD13">
        <v>1.9162481205412842E-2</v>
      </c>
      <c r="BE13">
        <v>2.9079625067980421E-2</v>
      </c>
      <c r="BF13">
        <v>9.7571899293003618E-3</v>
      </c>
      <c r="BG13">
        <v>1.5899420966761571E-2</v>
      </c>
      <c r="BH13">
        <v>2.0154195591669598E-2</v>
      </c>
      <c r="BI13">
        <v>2.2361559870757223E-2</v>
      </c>
    </row>
    <row r="14" spans="1:61" x14ac:dyDescent="0.3">
      <c r="A14" s="2">
        <v>44501</v>
      </c>
      <c r="B14" t="s">
        <v>30</v>
      </c>
      <c r="C14" t="s">
        <v>32</v>
      </c>
      <c r="D14" t="s">
        <v>33</v>
      </c>
      <c r="E14" t="s">
        <v>31</v>
      </c>
      <c r="F14" t="s">
        <v>35</v>
      </c>
      <c r="G14" t="s">
        <v>34</v>
      </c>
      <c r="H14" t="s">
        <v>39</v>
      </c>
      <c r="I14" t="s">
        <v>36</v>
      </c>
      <c r="J14" t="s">
        <v>37</v>
      </c>
      <c r="K14" t="s">
        <v>38</v>
      </c>
      <c r="L14" t="s">
        <v>40</v>
      </c>
      <c r="M14" t="s">
        <v>42</v>
      </c>
      <c r="N14" t="s">
        <v>43</v>
      </c>
      <c r="O14" t="s">
        <v>46</v>
      </c>
      <c r="P14" t="s">
        <v>41</v>
      </c>
      <c r="Q14" t="s">
        <v>48</v>
      </c>
      <c r="R14" t="s">
        <v>49</v>
      </c>
      <c r="S14" t="s">
        <v>47</v>
      </c>
      <c r="T14" t="s">
        <v>45</v>
      </c>
      <c r="U14" t="s">
        <v>44</v>
      </c>
      <c r="V14">
        <v>5797</v>
      </c>
      <c r="W14">
        <v>2388</v>
      </c>
      <c r="X14">
        <v>2216</v>
      </c>
      <c r="Y14">
        <v>1985</v>
      </c>
      <c r="Z14">
        <v>2245</v>
      </c>
      <c r="AA14">
        <v>2003</v>
      </c>
      <c r="AB14">
        <v>1598</v>
      </c>
      <c r="AC14">
        <v>1669</v>
      </c>
      <c r="AD14">
        <v>1428</v>
      </c>
      <c r="AE14">
        <v>1070</v>
      </c>
      <c r="AF14">
        <v>1329</v>
      </c>
      <c r="AG14">
        <v>1226</v>
      </c>
      <c r="AH14">
        <v>711</v>
      </c>
      <c r="AI14">
        <v>536</v>
      </c>
      <c r="AJ14">
        <v>1035</v>
      </c>
      <c r="AK14">
        <v>620</v>
      </c>
      <c r="AL14">
        <v>265</v>
      </c>
      <c r="AM14">
        <v>653</v>
      </c>
      <c r="AN14">
        <v>498</v>
      </c>
      <c r="AO14">
        <v>594</v>
      </c>
      <c r="AP14">
        <v>0.18143974960876369</v>
      </c>
      <c r="AQ14">
        <v>7.4741784037558684E-2</v>
      </c>
      <c r="AR14">
        <v>6.935837245696401E-2</v>
      </c>
      <c r="AS14">
        <v>6.2128325508607196E-2</v>
      </c>
      <c r="AT14">
        <v>7.0266040688575906E-2</v>
      </c>
      <c r="AU14">
        <v>6.2691705790297342E-2</v>
      </c>
      <c r="AV14">
        <v>5.0015649452269169E-2</v>
      </c>
      <c r="AW14">
        <v>5.2237871674491392E-2</v>
      </c>
      <c r="AX14">
        <v>4.4694835680751173E-2</v>
      </c>
      <c r="AY14">
        <v>3.3489827856025042E-2</v>
      </c>
      <c r="AZ14">
        <v>4.15962441314554E-2</v>
      </c>
      <c r="BA14">
        <v>3.8372456964006263E-2</v>
      </c>
      <c r="BB14">
        <v>2.2253521126760562E-2</v>
      </c>
      <c r="BC14">
        <v>1.677621283255086E-2</v>
      </c>
      <c r="BD14">
        <v>3.2394366197183097E-2</v>
      </c>
      <c r="BE14">
        <v>1.9405320813771519E-2</v>
      </c>
      <c r="BF14">
        <v>8.2942097026604076E-3</v>
      </c>
      <c r="BG14">
        <v>2.0438184663536776E-2</v>
      </c>
      <c r="BH14">
        <v>1.5586854460093896E-2</v>
      </c>
      <c r="BI14">
        <v>1.8591549295774647E-2</v>
      </c>
    </row>
    <row r="15" spans="1:61" x14ac:dyDescent="0.3">
      <c r="A15" s="2">
        <v>44531</v>
      </c>
      <c r="B15" t="s">
        <v>30</v>
      </c>
      <c r="C15" t="s">
        <v>32</v>
      </c>
      <c r="D15" t="s">
        <v>33</v>
      </c>
      <c r="E15" t="s">
        <v>31</v>
      </c>
      <c r="F15" t="s">
        <v>35</v>
      </c>
      <c r="G15" t="s">
        <v>34</v>
      </c>
      <c r="H15" t="s">
        <v>39</v>
      </c>
      <c r="I15" t="s">
        <v>37</v>
      </c>
      <c r="J15" t="s">
        <v>36</v>
      </c>
      <c r="K15" t="s">
        <v>38</v>
      </c>
      <c r="L15" t="s">
        <v>40</v>
      </c>
      <c r="M15" t="s">
        <v>42</v>
      </c>
      <c r="N15" t="s">
        <v>43</v>
      </c>
      <c r="O15" t="s">
        <v>41</v>
      </c>
      <c r="P15" t="s">
        <v>46</v>
      </c>
      <c r="Q15" t="s">
        <v>48</v>
      </c>
      <c r="R15" t="s">
        <v>49</v>
      </c>
      <c r="S15" t="s">
        <v>47</v>
      </c>
      <c r="T15" t="s">
        <v>45</v>
      </c>
      <c r="U15" t="s">
        <v>44</v>
      </c>
      <c r="V15" s="15">
        <v>6760</v>
      </c>
      <c r="W15" s="15">
        <v>3152</v>
      </c>
      <c r="X15" s="15">
        <v>3014</v>
      </c>
      <c r="Y15" s="15">
        <v>2036</v>
      </c>
      <c r="Z15" s="15">
        <v>1967</v>
      </c>
      <c r="AA15" s="15">
        <v>1664</v>
      </c>
      <c r="AB15" s="15">
        <v>1977</v>
      </c>
      <c r="AC15" s="15">
        <v>2706</v>
      </c>
      <c r="AD15" s="15">
        <v>1356</v>
      </c>
      <c r="AE15" s="15">
        <v>1785</v>
      </c>
      <c r="AF15" s="15">
        <v>1928</v>
      </c>
      <c r="AG15" s="15">
        <v>859</v>
      </c>
      <c r="AH15" s="15">
        <v>569</v>
      </c>
      <c r="AI15" s="15">
        <v>879</v>
      </c>
      <c r="AJ15" s="15">
        <v>532</v>
      </c>
      <c r="AK15" s="15">
        <v>541</v>
      </c>
      <c r="AL15" s="15">
        <v>422</v>
      </c>
      <c r="AM15" s="15">
        <v>538</v>
      </c>
      <c r="AN15" s="15">
        <v>582</v>
      </c>
      <c r="AO15">
        <v>348</v>
      </c>
      <c r="AP15" s="14">
        <v>0.18693139396620856</v>
      </c>
      <c r="AQ15" s="14">
        <v>8.7160910322705523E-2</v>
      </c>
      <c r="AR15" s="14">
        <v>8.3344855238779963E-2</v>
      </c>
      <c r="AS15" s="14">
        <v>5.6300638774437958E-2</v>
      </c>
      <c r="AT15" s="14">
        <v>5.4392611232475178E-2</v>
      </c>
      <c r="AU15" s="14">
        <v>4.6013881591682106E-2</v>
      </c>
      <c r="AV15" s="14">
        <v>5.4669136963194427E-2</v>
      </c>
      <c r="AW15" s="14">
        <v>7.4827862732627273E-2</v>
      </c>
      <c r="AX15" s="14">
        <v>3.7496889085529408E-2</v>
      </c>
      <c r="AY15" s="14">
        <v>4.9359842933384954E-2</v>
      </c>
      <c r="AZ15" s="14">
        <v>5.3314160882670131E-2</v>
      </c>
      <c r="BA15" s="14">
        <v>2.375356026878301E-2</v>
      </c>
      <c r="BB15" s="14">
        <v>1.573431407792495E-2</v>
      </c>
      <c r="BC15" s="14">
        <v>2.4306611730221497E-2</v>
      </c>
      <c r="BD15" s="14">
        <v>1.471116887426375E-2</v>
      </c>
      <c r="BE15" s="14">
        <v>1.4960042031911069E-2</v>
      </c>
      <c r="BF15" s="14">
        <v>1.1669385836352072E-2</v>
      </c>
      <c r="BG15" s="14">
        <v>1.4877084312695295E-2</v>
      </c>
      <c r="BH15" s="14">
        <v>1.6093797527859968E-2</v>
      </c>
      <c r="BI15" s="14">
        <v>9.6230954290296711E-3</v>
      </c>
    </row>
    <row r="16" spans="1:61" x14ac:dyDescent="0.3">
      <c r="A16" s="2">
        <v>44562</v>
      </c>
    </row>
    <row r="17" spans="1:1" x14ac:dyDescent="0.3">
      <c r="A17" s="2">
        <v>44593</v>
      </c>
    </row>
    <row r="18" spans="1:1" x14ac:dyDescent="0.3">
      <c r="A18" s="2"/>
    </row>
    <row r="19" spans="1:1" x14ac:dyDescent="0.3">
      <c r="A19" s="2"/>
    </row>
  </sheetData>
  <mergeCells count="3">
    <mergeCell ref="B2:U2"/>
    <mergeCell ref="V2:AO2"/>
    <mergeCell ref="AP2:B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5855-5665-4644-A4CA-71E02A831A40}">
  <sheetPr codeName="Arkusz3"/>
  <dimension ref="A2:BI1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09375" defaultRowHeight="14.4" x14ac:dyDescent="0.3"/>
  <cols>
    <col min="1" max="1" width="10.6640625" style="1" bestFit="1" customWidth="1"/>
    <col min="2" max="16384" width="9.109375" style="1"/>
  </cols>
  <sheetData>
    <row r="2" spans="1:61" x14ac:dyDescent="0.3">
      <c r="B2" s="10" t="s">
        <v>2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 t="s">
        <v>4</v>
      </c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 t="s">
        <v>11</v>
      </c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</row>
    <row r="3" spans="1:61" x14ac:dyDescent="0.3"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1</v>
      </c>
      <c r="W3" s="3">
        <v>2</v>
      </c>
      <c r="X3" s="3">
        <v>3</v>
      </c>
      <c r="Y3" s="3">
        <v>4</v>
      </c>
      <c r="Z3" s="3">
        <v>5</v>
      </c>
      <c r="AA3" s="3">
        <v>6</v>
      </c>
      <c r="AB3" s="3">
        <v>7</v>
      </c>
      <c r="AC3" s="3">
        <v>8</v>
      </c>
      <c r="AD3" s="3">
        <v>9</v>
      </c>
      <c r="AE3" s="3">
        <v>10</v>
      </c>
      <c r="AF3" s="3">
        <v>11</v>
      </c>
      <c r="AG3" s="3">
        <v>12</v>
      </c>
      <c r="AH3" s="3">
        <v>13</v>
      </c>
      <c r="AI3" s="3">
        <v>14</v>
      </c>
      <c r="AJ3" s="3">
        <v>15</v>
      </c>
      <c r="AK3" s="3">
        <v>16</v>
      </c>
      <c r="AL3" s="3">
        <v>17</v>
      </c>
      <c r="AM3" s="3">
        <v>18</v>
      </c>
      <c r="AN3" s="3">
        <v>19</v>
      </c>
      <c r="AO3" s="3">
        <v>20</v>
      </c>
      <c r="AP3" s="3">
        <v>1</v>
      </c>
      <c r="AQ3" s="3">
        <v>2</v>
      </c>
      <c r="AR3" s="3">
        <v>3</v>
      </c>
      <c r="AS3" s="3">
        <v>4</v>
      </c>
      <c r="AT3" s="3">
        <v>5</v>
      </c>
      <c r="AU3" s="3">
        <v>6</v>
      </c>
      <c r="AV3" s="3">
        <v>7</v>
      </c>
      <c r="AW3" s="3">
        <v>8</v>
      </c>
      <c r="AX3" s="3">
        <v>9</v>
      </c>
      <c r="AY3" s="3">
        <v>10</v>
      </c>
      <c r="AZ3" s="3">
        <v>11</v>
      </c>
      <c r="BA3" s="3">
        <v>12</v>
      </c>
      <c r="BB3" s="3">
        <v>13</v>
      </c>
      <c r="BC3" s="3">
        <v>14</v>
      </c>
      <c r="BD3" s="3">
        <v>15</v>
      </c>
      <c r="BE3" s="3">
        <v>16</v>
      </c>
      <c r="BF3" s="3">
        <v>17</v>
      </c>
      <c r="BG3" s="3">
        <v>18</v>
      </c>
      <c r="BH3" s="3">
        <v>19</v>
      </c>
      <c r="BI3" s="3">
        <v>20</v>
      </c>
    </row>
    <row r="4" spans="1:61" x14ac:dyDescent="0.3">
      <c r="A4" s="2">
        <v>44197</v>
      </c>
      <c r="B4" s="1" t="s">
        <v>51</v>
      </c>
      <c r="C4" s="1" t="s">
        <v>52</v>
      </c>
      <c r="D4" s="1" t="s">
        <v>53</v>
      </c>
      <c r="E4" s="1" t="s">
        <v>54</v>
      </c>
      <c r="F4" s="1" t="s">
        <v>55</v>
      </c>
      <c r="G4" s="1" t="s">
        <v>56</v>
      </c>
      <c r="H4" s="1" t="s">
        <v>57</v>
      </c>
      <c r="I4" s="1" t="s">
        <v>58</v>
      </c>
      <c r="J4" s="1" t="s">
        <v>59</v>
      </c>
      <c r="K4" s="1" t="s">
        <v>60</v>
      </c>
      <c r="L4" s="1" t="s">
        <v>61</v>
      </c>
      <c r="M4" s="1" t="s">
        <v>62</v>
      </c>
      <c r="N4" s="1" t="s">
        <v>63</v>
      </c>
      <c r="O4" s="1" t="s">
        <v>64</v>
      </c>
      <c r="P4" s="1" t="s">
        <v>65</v>
      </c>
      <c r="Q4" s="1" t="s">
        <v>66</v>
      </c>
      <c r="R4" s="1" t="s">
        <v>67</v>
      </c>
      <c r="S4" s="1" t="s">
        <v>68</v>
      </c>
      <c r="T4" s="1" t="s">
        <v>69</v>
      </c>
      <c r="U4" s="1" t="s">
        <v>70</v>
      </c>
      <c r="V4" s="1">
        <v>1628</v>
      </c>
      <c r="W4" s="1">
        <v>1543</v>
      </c>
      <c r="X4" s="1">
        <v>1194</v>
      </c>
      <c r="Y4" s="1">
        <v>1013</v>
      </c>
      <c r="Z4" s="1">
        <v>929</v>
      </c>
      <c r="AA4" s="1">
        <v>775</v>
      </c>
      <c r="AB4" s="1">
        <v>761</v>
      </c>
      <c r="AC4" s="1">
        <v>726</v>
      </c>
      <c r="AD4" s="1">
        <v>685</v>
      </c>
      <c r="AE4" s="1">
        <v>602</v>
      </c>
      <c r="AF4" s="1">
        <v>571</v>
      </c>
      <c r="AG4" s="1">
        <v>514</v>
      </c>
      <c r="AH4" s="1">
        <v>498</v>
      </c>
      <c r="AI4" s="1">
        <v>476</v>
      </c>
      <c r="AJ4" s="1">
        <v>466</v>
      </c>
      <c r="AK4" s="1">
        <v>453</v>
      </c>
      <c r="AL4" s="1">
        <v>432</v>
      </c>
      <c r="AM4" s="1">
        <v>426</v>
      </c>
      <c r="AN4" s="1">
        <v>365</v>
      </c>
      <c r="AO4" s="1">
        <v>361</v>
      </c>
      <c r="AP4" s="14">
        <v>5.0461843655074078E-2</v>
      </c>
      <c r="AQ4" s="14">
        <v>4.7827165085859526E-2</v>
      </c>
      <c r="AR4" s="14">
        <v>3.7009484842849175E-2</v>
      </c>
      <c r="AS4" s="14">
        <v>3.1399169301345238E-2</v>
      </c>
      <c r="AT4" s="14">
        <v>2.8795486950592027E-2</v>
      </c>
      <c r="AU4" s="14">
        <v>2.402206930754448E-2</v>
      </c>
      <c r="AV4" s="14">
        <v>2.3588122249085613E-2</v>
      </c>
      <c r="AW4" s="14">
        <v>2.2503254602938443E-2</v>
      </c>
      <c r="AX4" s="14">
        <v>2.1232409646023184E-2</v>
      </c>
      <c r="AY4" s="14">
        <v>1.8659723513731324E-2</v>
      </c>
      <c r="AZ4" s="14">
        <v>1.7698840741429547E-2</v>
      </c>
      <c r="BA4" s="14">
        <v>1.5932056289132725E-2</v>
      </c>
      <c r="BB4" s="14">
        <v>1.5436116793751162E-2</v>
      </c>
      <c r="BC4" s="14">
        <v>1.4754199987601512E-2</v>
      </c>
      <c r="BD4" s="14">
        <v>1.4444237802988036E-2</v>
      </c>
      <c r="BE4" s="14">
        <v>1.4041286962990515E-2</v>
      </c>
      <c r="BF4" s="14">
        <v>1.3390366375302214E-2</v>
      </c>
      <c r="BG4" s="14">
        <v>1.3204389064534127E-2</v>
      </c>
      <c r="BH4" s="14">
        <v>1.1313619738391916E-2</v>
      </c>
      <c r="BI4" s="14">
        <v>1.1189634864546525E-2</v>
      </c>
    </row>
    <row r="5" spans="1:61" x14ac:dyDescent="0.3">
      <c r="A5" s="2">
        <v>44228</v>
      </c>
      <c r="B5" s="1" t="s">
        <v>51</v>
      </c>
      <c r="C5" s="1" t="s">
        <v>71</v>
      </c>
      <c r="D5" s="1" t="s">
        <v>53</v>
      </c>
      <c r="E5" s="1" t="s">
        <v>52</v>
      </c>
      <c r="F5" s="1" t="s">
        <v>57</v>
      </c>
      <c r="G5" s="1" t="s">
        <v>72</v>
      </c>
      <c r="H5" s="1" t="s">
        <v>55</v>
      </c>
      <c r="I5" s="1" t="s">
        <v>54</v>
      </c>
      <c r="J5" s="1" t="s">
        <v>73</v>
      </c>
      <c r="K5" s="1" t="s">
        <v>58</v>
      </c>
      <c r="L5" s="1" t="s">
        <v>65</v>
      </c>
      <c r="M5" s="1" t="s">
        <v>68</v>
      </c>
      <c r="N5" s="1" t="s">
        <v>60</v>
      </c>
      <c r="O5" s="1" t="s">
        <v>63</v>
      </c>
      <c r="P5" s="1" t="s">
        <v>74</v>
      </c>
      <c r="Q5" s="1" t="s">
        <v>75</v>
      </c>
      <c r="R5" s="1" t="s">
        <v>76</v>
      </c>
      <c r="S5" s="1" t="s">
        <v>59</v>
      </c>
      <c r="T5" s="1" t="s">
        <v>66</v>
      </c>
      <c r="U5" s="1" t="s">
        <v>70</v>
      </c>
      <c r="V5" s="1">
        <v>1991</v>
      </c>
      <c r="W5" s="1">
        <v>1887</v>
      </c>
      <c r="X5" s="1">
        <v>1855</v>
      </c>
      <c r="Y5" s="1">
        <v>1634</v>
      </c>
      <c r="Z5" s="1">
        <v>1385</v>
      </c>
      <c r="AA5" s="1">
        <v>1296</v>
      </c>
      <c r="AB5" s="1">
        <v>1211</v>
      </c>
      <c r="AC5" s="1">
        <v>1005</v>
      </c>
      <c r="AD5" s="1">
        <v>969</v>
      </c>
      <c r="AE5" s="1">
        <v>962</v>
      </c>
      <c r="AF5" s="1">
        <v>947</v>
      </c>
      <c r="AG5" s="1">
        <v>919</v>
      </c>
      <c r="AH5" s="1">
        <v>866</v>
      </c>
      <c r="AI5" s="1">
        <v>824</v>
      </c>
      <c r="AJ5" s="1">
        <v>810</v>
      </c>
      <c r="AK5" s="1">
        <v>796</v>
      </c>
      <c r="AL5" s="1">
        <v>792</v>
      </c>
      <c r="AM5" s="1">
        <v>775</v>
      </c>
      <c r="AN5" s="1">
        <v>653</v>
      </c>
      <c r="AO5" s="1">
        <v>606</v>
      </c>
      <c r="AP5" s="14">
        <v>3.8654940105228415E-2</v>
      </c>
      <c r="AQ5" s="14">
        <v>3.6635797076125576E-2</v>
      </c>
      <c r="AR5" s="14">
        <v>3.6014522297940083E-2</v>
      </c>
      <c r="AS5" s="14">
        <v>3.172384336109655E-2</v>
      </c>
      <c r="AT5" s="14">
        <v>2.6889548993340711E-2</v>
      </c>
      <c r="AU5" s="14">
        <v>2.5161628516512317E-2</v>
      </c>
      <c r="AV5" s="14">
        <v>2.3511367386957114E-2</v>
      </c>
      <c r="AW5" s="14">
        <v>1.9511911002388024E-2</v>
      </c>
      <c r="AX5" s="14">
        <v>1.8812976876929351E-2</v>
      </c>
      <c r="AY5" s="14">
        <v>1.8677073019201275E-2</v>
      </c>
      <c r="AZ5" s="14">
        <v>1.8385850466926826E-2</v>
      </c>
      <c r="BA5" s="14">
        <v>1.7842235036014523E-2</v>
      </c>
      <c r="BB5" s="14">
        <v>1.6813248684644806E-2</v>
      </c>
      <c r="BC5" s="14">
        <v>1.5997825538276351E-2</v>
      </c>
      <c r="BD5" s="14">
        <v>1.5726017822820199E-2</v>
      </c>
      <c r="BE5" s="14">
        <v>1.5454210107364048E-2</v>
      </c>
      <c r="BF5" s="14">
        <v>1.5376550760090861E-2</v>
      </c>
      <c r="BG5" s="14">
        <v>1.504649853417982E-2</v>
      </c>
      <c r="BH5" s="14">
        <v>1.2677888442347643E-2</v>
      </c>
      <c r="BI5" s="14">
        <v>1.1765391111887704E-2</v>
      </c>
    </row>
    <row r="6" spans="1:61" x14ac:dyDescent="0.3">
      <c r="A6" s="2">
        <v>44256</v>
      </c>
      <c r="B6" s="1" t="s">
        <v>51</v>
      </c>
      <c r="C6" s="1" t="s">
        <v>52</v>
      </c>
      <c r="D6" s="1" t="s">
        <v>53</v>
      </c>
      <c r="E6" s="1" t="s">
        <v>57</v>
      </c>
      <c r="F6" s="1" t="s">
        <v>58</v>
      </c>
      <c r="G6" s="1" t="s">
        <v>59</v>
      </c>
      <c r="H6" s="1" t="s">
        <v>68</v>
      </c>
      <c r="I6" s="1" t="s">
        <v>55</v>
      </c>
      <c r="J6" s="1" t="s">
        <v>77</v>
      </c>
      <c r="K6" s="1" t="s">
        <v>63</v>
      </c>
      <c r="L6" s="1" t="s">
        <v>66</v>
      </c>
      <c r="M6" s="1" t="s">
        <v>60</v>
      </c>
      <c r="N6" s="1" t="s">
        <v>61</v>
      </c>
      <c r="O6" s="1" t="s">
        <v>78</v>
      </c>
      <c r="P6" s="1" t="s">
        <v>62</v>
      </c>
      <c r="Q6" s="1" t="s">
        <v>72</v>
      </c>
      <c r="R6" s="1" t="s">
        <v>56</v>
      </c>
      <c r="S6" s="1" t="s">
        <v>79</v>
      </c>
      <c r="T6" s="1" t="s">
        <v>73</v>
      </c>
      <c r="U6" s="1" t="s">
        <v>64</v>
      </c>
      <c r="V6" s="1">
        <v>2746</v>
      </c>
      <c r="W6" s="1">
        <v>1986</v>
      </c>
      <c r="X6" s="1">
        <v>1813</v>
      </c>
      <c r="Y6" s="1">
        <v>1449</v>
      </c>
      <c r="Z6" s="1">
        <v>1270</v>
      </c>
      <c r="AA6" s="1">
        <v>1047</v>
      </c>
      <c r="AB6" s="1">
        <v>1027</v>
      </c>
      <c r="AC6" s="1">
        <v>870</v>
      </c>
      <c r="AD6" s="1">
        <v>853</v>
      </c>
      <c r="AE6" s="1">
        <v>842</v>
      </c>
      <c r="AF6" s="1">
        <v>808</v>
      </c>
      <c r="AG6" s="1">
        <v>781</v>
      </c>
      <c r="AH6" s="1">
        <v>713</v>
      </c>
      <c r="AI6" s="1">
        <v>687</v>
      </c>
      <c r="AJ6" s="1">
        <v>638</v>
      </c>
      <c r="AK6" s="1">
        <v>611</v>
      </c>
      <c r="AL6" s="1">
        <v>597</v>
      </c>
      <c r="AM6" s="1">
        <v>591</v>
      </c>
      <c r="AN6" s="1">
        <v>512</v>
      </c>
      <c r="AO6" s="1">
        <v>504</v>
      </c>
      <c r="AP6" s="14">
        <v>5.7388869150870443E-2</v>
      </c>
      <c r="AQ6" s="14">
        <v>4.1505569604380448E-2</v>
      </c>
      <c r="AR6" s="14">
        <v>3.7890029049718908E-2</v>
      </c>
      <c r="AS6" s="14">
        <v>3.0282764530084223E-2</v>
      </c>
      <c r="AT6" s="14">
        <v>2.6541829505318814E-2</v>
      </c>
      <c r="AU6" s="14">
        <v>2.1881335033125039E-2</v>
      </c>
      <c r="AV6" s="14">
        <v>2.1463353466112143E-2</v>
      </c>
      <c r="AW6" s="14">
        <v>1.818219816506092E-2</v>
      </c>
      <c r="AX6" s="14">
        <v>1.782691383309996E-2</v>
      </c>
      <c r="AY6" s="14">
        <v>1.7597023971242867E-2</v>
      </c>
      <c r="AZ6" s="14">
        <v>1.6886455307320948E-2</v>
      </c>
      <c r="BA6" s="14">
        <v>1.6322180191853539E-2</v>
      </c>
      <c r="BB6" s="14">
        <v>1.4901042864009697E-2</v>
      </c>
      <c r="BC6" s="14">
        <v>1.4357666826892934E-2</v>
      </c>
      <c r="BD6" s="14">
        <v>1.3333611987711342E-2</v>
      </c>
      <c r="BE6" s="14">
        <v>1.2769336872243934E-2</v>
      </c>
      <c r="BF6" s="14">
        <v>1.2476749775334908E-2</v>
      </c>
      <c r="BG6" s="14">
        <v>1.235135530523104E-2</v>
      </c>
      <c r="BH6" s="14">
        <v>1.0700328115530105E-2</v>
      </c>
      <c r="BI6" s="14">
        <v>1.0533135488724947E-2</v>
      </c>
    </row>
    <row r="7" spans="1:61" x14ac:dyDescent="0.3">
      <c r="A7" s="2">
        <v>44287</v>
      </c>
      <c r="B7" s="1" t="s">
        <v>51</v>
      </c>
      <c r="C7" s="1" t="s">
        <v>52</v>
      </c>
      <c r="D7" s="1" t="s">
        <v>53</v>
      </c>
      <c r="E7" s="1" t="s">
        <v>57</v>
      </c>
      <c r="F7" s="1" t="s">
        <v>55</v>
      </c>
      <c r="G7" s="1" t="s">
        <v>58</v>
      </c>
      <c r="H7" s="1" t="s">
        <v>68</v>
      </c>
      <c r="I7" s="1" t="s">
        <v>59</v>
      </c>
      <c r="J7" s="1" t="s">
        <v>60</v>
      </c>
      <c r="K7" s="1" t="s">
        <v>74</v>
      </c>
      <c r="L7" s="1" t="s">
        <v>72</v>
      </c>
      <c r="M7" s="1" t="s">
        <v>66</v>
      </c>
      <c r="N7" s="1" t="s">
        <v>56</v>
      </c>
      <c r="O7" s="1" t="s">
        <v>65</v>
      </c>
      <c r="P7" s="1" t="s">
        <v>63</v>
      </c>
      <c r="Q7" s="1" t="s">
        <v>54</v>
      </c>
      <c r="R7" s="1" t="s">
        <v>62</v>
      </c>
      <c r="S7" s="1" t="s">
        <v>79</v>
      </c>
      <c r="T7" s="1" t="s">
        <v>77</v>
      </c>
      <c r="U7" s="1" t="s">
        <v>64</v>
      </c>
      <c r="V7" s="1">
        <v>2288</v>
      </c>
      <c r="W7" s="1">
        <v>1653</v>
      </c>
      <c r="X7" s="1">
        <v>1430</v>
      </c>
      <c r="Y7" s="1">
        <v>1081</v>
      </c>
      <c r="Z7" s="1">
        <v>1079</v>
      </c>
      <c r="AA7" s="1">
        <v>1038</v>
      </c>
      <c r="AB7" s="1">
        <v>983</v>
      </c>
      <c r="AC7" s="1">
        <v>776</v>
      </c>
      <c r="AD7" s="1">
        <v>715</v>
      </c>
      <c r="AE7" s="1">
        <v>642</v>
      </c>
      <c r="AF7" s="1">
        <v>625</v>
      </c>
      <c r="AG7" s="1">
        <v>603</v>
      </c>
      <c r="AH7" s="1">
        <v>591</v>
      </c>
      <c r="AI7" s="1">
        <v>588</v>
      </c>
      <c r="AJ7" s="1">
        <v>587</v>
      </c>
      <c r="AK7" s="1">
        <v>570</v>
      </c>
      <c r="AL7" s="1">
        <v>514</v>
      </c>
      <c r="AM7" s="1">
        <v>468</v>
      </c>
      <c r="AN7" s="1">
        <v>458</v>
      </c>
      <c r="AO7" s="1">
        <v>431</v>
      </c>
      <c r="AP7" s="14">
        <v>5.6987720740242595E-2</v>
      </c>
      <c r="AQ7" s="14">
        <v>4.1171635657177012E-2</v>
      </c>
      <c r="AR7" s="14">
        <v>3.5617325462651624E-2</v>
      </c>
      <c r="AS7" s="14">
        <v>2.6924705472116367E-2</v>
      </c>
      <c r="AT7" s="14">
        <v>2.6874891030909859E-2</v>
      </c>
      <c r="AU7" s="14">
        <v>2.5853694986176491E-2</v>
      </c>
      <c r="AV7" s="14">
        <v>2.4483797852997584E-2</v>
      </c>
      <c r="AW7" s="14">
        <v>1.9328003188124238E-2</v>
      </c>
      <c r="AX7" s="14">
        <v>1.7808662731325812E-2</v>
      </c>
      <c r="AY7" s="14">
        <v>1.599043562728835E-2</v>
      </c>
      <c r="AZ7" s="14">
        <v>1.5567012877033052E-2</v>
      </c>
      <c r="BA7" s="14">
        <v>1.5019054023761488E-2</v>
      </c>
      <c r="BB7" s="14">
        <v>1.4720167376522453E-2</v>
      </c>
      <c r="BC7" s="14">
        <v>1.4645445714712695E-2</v>
      </c>
      <c r="BD7" s="14">
        <v>1.4620538494109441E-2</v>
      </c>
      <c r="BE7" s="14">
        <v>1.4197115743854143E-2</v>
      </c>
      <c r="BF7" s="14">
        <v>1.2802311390071982E-2</v>
      </c>
      <c r="BG7" s="14">
        <v>1.165657924232235E-2</v>
      </c>
      <c r="BH7" s="14">
        <v>1.1407507036289821E-2</v>
      </c>
      <c r="BI7" s="14">
        <v>1.0735012080001993E-2</v>
      </c>
    </row>
    <row r="8" spans="1:61" x14ac:dyDescent="0.3">
      <c r="A8" s="2">
        <v>44317</v>
      </c>
      <c r="B8" s="1" t="s">
        <v>51</v>
      </c>
      <c r="C8" s="1" t="s">
        <v>52</v>
      </c>
      <c r="D8" s="1" t="s">
        <v>53</v>
      </c>
      <c r="E8" s="1" t="s">
        <v>57</v>
      </c>
      <c r="F8" s="1" t="s">
        <v>58</v>
      </c>
      <c r="G8" s="1" t="s">
        <v>68</v>
      </c>
      <c r="H8" s="1" t="s">
        <v>55</v>
      </c>
      <c r="I8" s="1" t="s">
        <v>54</v>
      </c>
      <c r="J8" s="1" t="s">
        <v>73</v>
      </c>
      <c r="K8" s="1" t="s">
        <v>79</v>
      </c>
      <c r="L8" s="1" t="s">
        <v>72</v>
      </c>
      <c r="M8" s="1" t="s">
        <v>56</v>
      </c>
      <c r="N8" s="1" t="s">
        <v>59</v>
      </c>
      <c r="O8" s="1" t="s">
        <v>63</v>
      </c>
      <c r="P8" s="1" t="s">
        <v>74</v>
      </c>
      <c r="Q8" s="1" t="s">
        <v>60</v>
      </c>
      <c r="R8" s="1" t="s">
        <v>71</v>
      </c>
      <c r="S8" s="1" t="s">
        <v>66</v>
      </c>
      <c r="T8" s="1" t="s">
        <v>64</v>
      </c>
      <c r="U8" s="1" t="s">
        <v>61</v>
      </c>
      <c r="V8" s="1">
        <v>1649</v>
      </c>
      <c r="W8" s="1">
        <v>1580</v>
      </c>
      <c r="X8" s="1">
        <v>1421</v>
      </c>
      <c r="Y8" s="1">
        <v>1050</v>
      </c>
      <c r="Z8" s="1">
        <v>1046</v>
      </c>
      <c r="AA8" s="1">
        <v>931</v>
      </c>
      <c r="AB8" s="1">
        <v>923</v>
      </c>
      <c r="AC8" s="1">
        <v>861</v>
      </c>
      <c r="AD8" s="1">
        <v>738</v>
      </c>
      <c r="AE8" s="1">
        <v>731</v>
      </c>
      <c r="AF8" s="1">
        <v>731</v>
      </c>
      <c r="AG8" s="1">
        <v>692</v>
      </c>
      <c r="AH8" s="1">
        <v>604</v>
      </c>
      <c r="AI8" s="1">
        <v>554</v>
      </c>
      <c r="AJ8" s="1">
        <v>545</v>
      </c>
      <c r="AK8" s="1">
        <v>522</v>
      </c>
      <c r="AL8" s="1">
        <v>514</v>
      </c>
      <c r="AM8" s="1">
        <v>511</v>
      </c>
      <c r="AN8" s="1">
        <v>503</v>
      </c>
      <c r="AO8" s="1">
        <v>473</v>
      </c>
      <c r="AP8" s="14">
        <v>3.9842466415386101E-2</v>
      </c>
      <c r="AQ8" s="14">
        <v>3.8175316516864795E-2</v>
      </c>
      <c r="AR8" s="14">
        <v>3.4333623272446122E-2</v>
      </c>
      <c r="AS8" s="14">
        <v>2.536967236880255E-2</v>
      </c>
      <c r="AT8" s="14">
        <v>2.5273025997873781E-2</v>
      </c>
      <c r="AU8" s="14">
        <v>2.2494442833671597E-2</v>
      </c>
      <c r="AV8" s="14">
        <v>2.2301150091814052E-2</v>
      </c>
      <c r="AW8" s="14">
        <v>2.0803131342418093E-2</v>
      </c>
      <c r="AX8" s="14">
        <v>1.7831255436358363E-2</v>
      </c>
      <c r="AY8" s="14">
        <v>1.7662124287233013E-2</v>
      </c>
      <c r="AZ8" s="14">
        <v>1.7662124287233013E-2</v>
      </c>
      <c r="BA8" s="14">
        <v>1.6719822170677492E-2</v>
      </c>
      <c r="BB8" s="14">
        <v>1.4593602010244516E-2</v>
      </c>
      <c r="BC8" s="14">
        <v>1.338552237363487E-2</v>
      </c>
      <c r="BD8" s="14">
        <v>1.3168068039045133E-2</v>
      </c>
      <c r="BE8" s="14">
        <v>1.2612351406204697E-2</v>
      </c>
      <c r="BF8" s="14">
        <v>1.2419058664347154E-2</v>
      </c>
      <c r="BG8" s="14">
        <v>1.2346573886150574E-2</v>
      </c>
      <c r="BH8" s="14">
        <v>1.2153281144293033E-2</v>
      </c>
      <c r="BI8" s="14">
        <v>1.1428433362327245E-2</v>
      </c>
    </row>
    <row r="9" spans="1:61" x14ac:dyDescent="0.3">
      <c r="A9" s="2">
        <v>44348</v>
      </c>
      <c r="B9" s="1" t="s">
        <v>51</v>
      </c>
      <c r="C9" s="1" t="s">
        <v>57</v>
      </c>
      <c r="D9" s="1" t="s">
        <v>55</v>
      </c>
      <c r="E9" s="1" t="s">
        <v>53</v>
      </c>
      <c r="F9" s="1" t="s">
        <v>52</v>
      </c>
      <c r="G9" s="1" t="s">
        <v>79</v>
      </c>
      <c r="H9" s="1" t="s">
        <v>58</v>
      </c>
      <c r="I9" s="1" t="s">
        <v>56</v>
      </c>
      <c r="J9" s="1" t="s">
        <v>68</v>
      </c>
      <c r="K9" s="1" t="s">
        <v>59</v>
      </c>
      <c r="L9" s="1" t="s">
        <v>72</v>
      </c>
      <c r="M9" s="1" t="s">
        <v>60</v>
      </c>
      <c r="N9" s="1" t="s">
        <v>71</v>
      </c>
      <c r="O9" s="1" t="s">
        <v>73</v>
      </c>
      <c r="P9" s="1" t="s">
        <v>64</v>
      </c>
      <c r="Q9" s="1" t="s">
        <v>70</v>
      </c>
      <c r="R9" s="1" t="s">
        <v>80</v>
      </c>
      <c r="S9" s="1" t="s">
        <v>54</v>
      </c>
      <c r="T9" s="1" t="s">
        <v>63</v>
      </c>
      <c r="U9" s="1" t="s">
        <v>81</v>
      </c>
      <c r="V9" s="1">
        <v>1854</v>
      </c>
      <c r="W9" s="1">
        <v>1496</v>
      </c>
      <c r="X9" s="1">
        <v>1307</v>
      </c>
      <c r="Y9" s="1">
        <v>1219</v>
      </c>
      <c r="Z9" s="1">
        <v>1131</v>
      </c>
      <c r="AA9" s="1">
        <v>1080</v>
      </c>
      <c r="AB9" s="1">
        <v>995</v>
      </c>
      <c r="AC9" s="1">
        <v>904</v>
      </c>
      <c r="AD9" s="1">
        <v>866</v>
      </c>
      <c r="AE9" s="1">
        <v>849</v>
      </c>
      <c r="AF9" s="1">
        <v>759</v>
      </c>
      <c r="AG9" s="1">
        <v>737</v>
      </c>
      <c r="AH9" s="1">
        <v>717</v>
      </c>
      <c r="AI9" s="1">
        <v>611</v>
      </c>
      <c r="AJ9" s="1">
        <v>586</v>
      </c>
      <c r="AK9" s="1">
        <v>575</v>
      </c>
      <c r="AL9" s="1">
        <v>564</v>
      </c>
      <c r="AM9" s="1">
        <v>552</v>
      </c>
      <c r="AN9" s="1">
        <v>548</v>
      </c>
      <c r="AO9" s="1">
        <v>536</v>
      </c>
      <c r="AP9" s="14">
        <v>4.241495275788703E-2</v>
      </c>
      <c r="AQ9" s="14">
        <v>3.4224794674109493E-2</v>
      </c>
      <c r="AR9" s="14">
        <v>2.9900940266752076E-2</v>
      </c>
      <c r="AS9" s="14">
        <v>2.7887717050627987E-2</v>
      </c>
      <c r="AT9" s="14">
        <v>2.5874493834503902E-2</v>
      </c>
      <c r="AU9" s="14">
        <v>2.4707739470613804E-2</v>
      </c>
      <c r="AV9" s="14">
        <v>2.2763148864130309E-2</v>
      </c>
      <c r="AW9" s="14">
        <v>2.068129303836563E-2</v>
      </c>
      <c r="AX9" s="14">
        <v>1.9811946649584772E-2</v>
      </c>
      <c r="AY9" s="14">
        <v>1.9423028528288075E-2</v>
      </c>
      <c r="AZ9" s="14">
        <v>1.7364050239070256E-2</v>
      </c>
      <c r="BA9" s="14">
        <v>1.6860744435039234E-2</v>
      </c>
      <c r="BB9" s="14">
        <v>1.6403193704101943E-2</v>
      </c>
      <c r="BC9" s="14">
        <v>1.3978174830134291E-2</v>
      </c>
      <c r="BD9" s="14">
        <v>1.3406236416462675E-2</v>
      </c>
      <c r="BE9" s="14">
        <v>1.3154583514447165E-2</v>
      </c>
      <c r="BF9" s="14">
        <v>1.2902930612431654E-2</v>
      </c>
      <c r="BG9" s="14">
        <v>1.2628400173869278E-2</v>
      </c>
      <c r="BH9" s="14">
        <v>1.2536890027681819E-2</v>
      </c>
      <c r="BI9" s="14">
        <v>1.2262359589119443E-2</v>
      </c>
    </row>
    <row r="10" spans="1:61" x14ac:dyDescent="0.3">
      <c r="A10" s="2">
        <v>44378</v>
      </c>
      <c r="B10" s="1" t="s">
        <v>51</v>
      </c>
      <c r="C10" s="1" t="s">
        <v>57</v>
      </c>
      <c r="D10" s="1" t="s">
        <v>52</v>
      </c>
      <c r="E10" s="1" t="s">
        <v>58</v>
      </c>
      <c r="F10" s="1" t="s">
        <v>55</v>
      </c>
      <c r="G10" s="1" t="s">
        <v>68</v>
      </c>
      <c r="H10" s="1" t="s">
        <v>53</v>
      </c>
      <c r="I10" s="1" t="s">
        <v>56</v>
      </c>
      <c r="J10" s="1" t="s">
        <v>79</v>
      </c>
      <c r="K10" s="1" t="s">
        <v>71</v>
      </c>
      <c r="L10" s="1" t="s">
        <v>54</v>
      </c>
      <c r="M10" s="1" t="s">
        <v>59</v>
      </c>
      <c r="N10" s="1" t="s">
        <v>72</v>
      </c>
      <c r="O10" s="1" t="s">
        <v>70</v>
      </c>
      <c r="P10" s="1" t="s">
        <v>64</v>
      </c>
      <c r="Q10" s="1" t="s">
        <v>82</v>
      </c>
      <c r="R10" s="1" t="s">
        <v>81</v>
      </c>
      <c r="S10" s="1" t="s">
        <v>83</v>
      </c>
      <c r="T10" s="1" t="s">
        <v>84</v>
      </c>
      <c r="U10" s="1" t="s">
        <v>76</v>
      </c>
      <c r="V10" s="1">
        <v>1348</v>
      </c>
      <c r="W10" s="1">
        <v>1324</v>
      </c>
      <c r="X10" s="1">
        <v>1300</v>
      </c>
      <c r="Y10" s="1">
        <v>1277</v>
      </c>
      <c r="Z10" s="1">
        <v>1087</v>
      </c>
      <c r="AA10" s="1">
        <v>1083</v>
      </c>
      <c r="AB10" s="1">
        <v>1050</v>
      </c>
      <c r="AC10" s="1">
        <v>942</v>
      </c>
      <c r="AD10" s="1">
        <v>926</v>
      </c>
      <c r="AE10" s="1">
        <v>830</v>
      </c>
      <c r="AF10" s="1">
        <v>813</v>
      </c>
      <c r="AG10" s="1">
        <v>787</v>
      </c>
      <c r="AH10" s="1">
        <v>761</v>
      </c>
      <c r="AI10" s="1">
        <v>641</v>
      </c>
      <c r="AJ10" s="1">
        <v>538</v>
      </c>
      <c r="AK10" s="1">
        <v>531</v>
      </c>
      <c r="AL10" s="1">
        <v>464</v>
      </c>
      <c r="AM10" s="1">
        <v>452</v>
      </c>
      <c r="AN10" s="1">
        <v>452</v>
      </c>
      <c r="AO10" s="1">
        <v>444</v>
      </c>
      <c r="AP10" s="14">
        <v>3.4698447836495151E-2</v>
      </c>
      <c r="AQ10" s="14">
        <v>3.4080671317151021E-2</v>
      </c>
      <c r="AR10" s="14">
        <v>3.346289479780689E-2</v>
      </c>
      <c r="AS10" s="14">
        <v>3.2870858966768772E-2</v>
      </c>
      <c r="AT10" s="14">
        <v>2.7980128188627763E-2</v>
      </c>
      <c r="AU10" s="14">
        <v>2.7877165435403743E-2</v>
      </c>
      <c r="AV10" s="14">
        <v>2.7027722721305568E-2</v>
      </c>
      <c r="AW10" s="14">
        <v>2.4247728384256994E-2</v>
      </c>
      <c r="AX10" s="14">
        <v>2.3835877371360909E-2</v>
      </c>
      <c r="AY10" s="14">
        <v>2.13647712939844E-2</v>
      </c>
      <c r="AZ10" s="14">
        <v>2.092717959278231E-2</v>
      </c>
      <c r="BA10" s="14">
        <v>2.0257921696826175E-2</v>
      </c>
      <c r="BB10" s="14">
        <v>1.9588663800870036E-2</v>
      </c>
      <c r="BC10" s="14">
        <v>1.64997812041494E-2</v>
      </c>
      <c r="BD10" s="14">
        <v>1.3848490308630853E-2</v>
      </c>
      <c r="BE10" s="14">
        <v>1.3668305490488815E-2</v>
      </c>
      <c r="BF10" s="14">
        <v>1.194367937398646E-2</v>
      </c>
      <c r="BG10" s="14">
        <v>1.1634791114314397E-2</v>
      </c>
      <c r="BH10" s="14">
        <v>1.1634791114314397E-2</v>
      </c>
      <c r="BI10" s="14">
        <v>1.1428865607866354E-2</v>
      </c>
    </row>
    <row r="11" spans="1:61" x14ac:dyDescent="0.3">
      <c r="A11" s="2">
        <v>44409</v>
      </c>
      <c r="B11" s="1" t="s">
        <v>51</v>
      </c>
      <c r="C11" s="1" t="s">
        <v>55</v>
      </c>
      <c r="D11" s="1" t="s">
        <v>71</v>
      </c>
      <c r="E11" s="1" t="s">
        <v>79</v>
      </c>
      <c r="F11" s="1" t="s">
        <v>57</v>
      </c>
      <c r="G11" s="1" t="s">
        <v>59</v>
      </c>
      <c r="H11" s="1" t="s">
        <v>52</v>
      </c>
      <c r="I11" s="1" t="s">
        <v>58</v>
      </c>
      <c r="J11" s="1" t="s">
        <v>53</v>
      </c>
      <c r="K11" s="1" t="s">
        <v>68</v>
      </c>
      <c r="L11" s="1" t="s">
        <v>56</v>
      </c>
      <c r="M11" s="1" t="s">
        <v>72</v>
      </c>
      <c r="N11" s="1" t="s">
        <v>64</v>
      </c>
      <c r="O11" s="1" t="s">
        <v>70</v>
      </c>
      <c r="P11" s="1" t="s">
        <v>83</v>
      </c>
      <c r="Q11" s="1" t="s">
        <v>76</v>
      </c>
      <c r="R11" s="1" t="s">
        <v>85</v>
      </c>
      <c r="S11" s="1" t="s">
        <v>86</v>
      </c>
      <c r="T11" s="1" t="s">
        <v>81</v>
      </c>
      <c r="U11" s="1" t="s">
        <v>54</v>
      </c>
      <c r="V11" s="1">
        <v>1181</v>
      </c>
      <c r="W11" s="1">
        <v>1136</v>
      </c>
      <c r="X11" s="1">
        <v>964</v>
      </c>
      <c r="Y11" s="1">
        <v>913</v>
      </c>
      <c r="Z11" s="1">
        <v>904</v>
      </c>
      <c r="AA11" s="1">
        <v>888</v>
      </c>
      <c r="AB11" s="1">
        <v>879</v>
      </c>
      <c r="AC11" s="1">
        <v>879</v>
      </c>
      <c r="AD11" s="1">
        <v>838</v>
      </c>
      <c r="AE11" s="1">
        <v>831</v>
      </c>
      <c r="AF11" s="1">
        <v>802</v>
      </c>
      <c r="AG11" s="1">
        <v>629</v>
      </c>
      <c r="AH11" s="1">
        <v>590</v>
      </c>
      <c r="AI11" s="1">
        <v>503</v>
      </c>
      <c r="AJ11" s="1">
        <v>486</v>
      </c>
      <c r="AK11" s="1">
        <v>470</v>
      </c>
      <c r="AL11" s="1">
        <v>454</v>
      </c>
      <c r="AM11" s="1">
        <v>425</v>
      </c>
      <c r="AN11" s="1">
        <v>408</v>
      </c>
      <c r="AO11" s="1">
        <v>381</v>
      </c>
      <c r="AP11" s="14">
        <v>3.5553013426455539E-2</v>
      </c>
      <c r="AQ11" s="14">
        <v>3.4198326208682038E-2</v>
      </c>
      <c r="AR11" s="14">
        <v>2.9020410620747786E-2</v>
      </c>
      <c r="AS11" s="14">
        <v>2.748509844060449E-2</v>
      </c>
      <c r="AT11" s="14">
        <v>2.7214160997049791E-2</v>
      </c>
      <c r="AU11" s="14">
        <v>2.6732494430730325E-2</v>
      </c>
      <c r="AV11" s="14">
        <v>2.6461556987175627E-2</v>
      </c>
      <c r="AW11" s="14">
        <v>2.6461556987175627E-2</v>
      </c>
      <c r="AX11" s="14">
        <v>2.5227286410981997E-2</v>
      </c>
      <c r="AY11" s="14">
        <v>2.5016557288217233E-2</v>
      </c>
      <c r="AZ11" s="14">
        <v>2.4143536636763201E-2</v>
      </c>
      <c r="BA11" s="14">
        <v>1.8935516888433982E-2</v>
      </c>
      <c r="BB11" s="14">
        <v>1.7761454633030284E-2</v>
      </c>
      <c r="BC11" s="14">
        <v>1.5142392678668192E-2</v>
      </c>
      <c r="BD11" s="14">
        <v>1.4630621951953761E-2</v>
      </c>
      <c r="BE11" s="14">
        <v>1.4148955385634295E-2</v>
      </c>
      <c r="BF11" s="14">
        <v>1.3667288819314829E-2</v>
      </c>
      <c r="BG11" s="14">
        <v>1.2794268167860799E-2</v>
      </c>
      <c r="BH11" s="14">
        <v>1.2282497441146366E-2</v>
      </c>
      <c r="BI11" s="14">
        <v>1.1469685110482269E-2</v>
      </c>
    </row>
    <row r="12" spans="1:61" x14ac:dyDescent="0.3">
      <c r="A12" s="2">
        <v>44440</v>
      </c>
      <c r="B12" s="1" t="s">
        <v>51</v>
      </c>
      <c r="C12" s="1" t="s">
        <v>55</v>
      </c>
      <c r="D12" s="1" t="s">
        <v>56</v>
      </c>
      <c r="E12" s="1" t="s">
        <v>72</v>
      </c>
      <c r="F12" s="1" t="s">
        <v>68</v>
      </c>
      <c r="G12" s="1" t="s">
        <v>52</v>
      </c>
      <c r="H12" s="1" t="s">
        <v>58</v>
      </c>
      <c r="I12" s="1" t="s">
        <v>73</v>
      </c>
      <c r="J12" s="1" t="s">
        <v>59</v>
      </c>
      <c r="K12" s="1" t="s">
        <v>64</v>
      </c>
      <c r="L12" s="1" t="s">
        <v>79</v>
      </c>
      <c r="M12" s="1" t="s">
        <v>57</v>
      </c>
      <c r="N12" s="1" t="s">
        <v>87</v>
      </c>
      <c r="O12" s="1" t="s">
        <v>63</v>
      </c>
      <c r="P12" s="1" t="s">
        <v>74</v>
      </c>
      <c r="Q12" s="1" t="s">
        <v>53</v>
      </c>
      <c r="R12" s="1" t="s">
        <v>88</v>
      </c>
      <c r="S12" s="1" t="s">
        <v>86</v>
      </c>
      <c r="T12" s="1" t="s">
        <v>71</v>
      </c>
      <c r="U12" s="1" t="s">
        <v>70</v>
      </c>
      <c r="V12" s="1">
        <v>1487</v>
      </c>
      <c r="W12" s="1">
        <v>1352</v>
      </c>
      <c r="X12" s="1">
        <v>924</v>
      </c>
      <c r="Y12" s="1">
        <v>829</v>
      </c>
      <c r="Z12" s="1">
        <v>718</v>
      </c>
      <c r="AA12" s="1">
        <v>685</v>
      </c>
      <c r="AB12" s="1">
        <v>673</v>
      </c>
      <c r="AC12" s="1">
        <v>629</v>
      </c>
      <c r="AD12" s="1">
        <v>628</v>
      </c>
      <c r="AE12" s="1">
        <v>614</v>
      </c>
      <c r="AF12" s="1">
        <v>613</v>
      </c>
      <c r="AG12" s="1">
        <v>545</v>
      </c>
      <c r="AH12" s="1">
        <v>541</v>
      </c>
      <c r="AI12" s="1">
        <v>515</v>
      </c>
      <c r="AJ12" s="1">
        <v>477</v>
      </c>
      <c r="AK12" s="1">
        <v>475</v>
      </c>
      <c r="AL12" s="1">
        <v>472</v>
      </c>
      <c r="AM12" s="1">
        <v>468</v>
      </c>
      <c r="AN12" s="1">
        <v>466</v>
      </c>
      <c r="AO12" s="1">
        <v>447</v>
      </c>
      <c r="AP12" s="14">
        <v>4.4944839050929428E-2</v>
      </c>
      <c r="AQ12" s="14">
        <v>4.0864440078585459E-2</v>
      </c>
      <c r="AR12" s="14">
        <v>2.7928064077376455E-2</v>
      </c>
      <c r="AS12" s="14">
        <v>2.5056672207949222E-2</v>
      </c>
      <c r="AT12" s="14">
        <v>2.1701677497355298E-2</v>
      </c>
      <c r="AU12" s="14">
        <v>2.0704246637448995E-2</v>
      </c>
      <c r="AV12" s="14">
        <v>2.0341544506573977E-2</v>
      </c>
      <c r="AW12" s="14">
        <v>1.9011636693365575E-2</v>
      </c>
      <c r="AX12" s="14">
        <v>1.8981411515792655E-2</v>
      </c>
      <c r="AY12" s="14">
        <v>1.85582590297718E-2</v>
      </c>
      <c r="AZ12" s="14">
        <v>1.852803385219888E-2</v>
      </c>
      <c r="BA12" s="14">
        <v>1.6472721777240441E-2</v>
      </c>
      <c r="BB12" s="14">
        <v>1.6351821066948768E-2</v>
      </c>
      <c r="BC12" s="14">
        <v>1.5565966450052895E-2</v>
      </c>
      <c r="BD12" s="14">
        <v>1.4417409702282001E-2</v>
      </c>
      <c r="BE12" s="14">
        <v>1.4356959347136164E-2</v>
      </c>
      <c r="BF12" s="14">
        <v>1.426628381441741E-2</v>
      </c>
      <c r="BG12" s="14">
        <v>1.4145383104125737E-2</v>
      </c>
      <c r="BH12" s="14">
        <v>1.40849327489799E-2</v>
      </c>
      <c r="BI12" s="14">
        <v>1.3510654375094454E-2</v>
      </c>
    </row>
    <row r="13" spans="1:61" x14ac:dyDescent="0.3">
      <c r="A13" s="2">
        <v>44470</v>
      </c>
      <c r="B13" s="1" t="s">
        <v>51</v>
      </c>
      <c r="C13" s="1" t="s">
        <v>72</v>
      </c>
      <c r="D13" s="1" t="s">
        <v>55</v>
      </c>
      <c r="E13" s="1" t="s">
        <v>64</v>
      </c>
      <c r="F13" s="1" t="s">
        <v>68</v>
      </c>
      <c r="G13" s="1" t="s">
        <v>74</v>
      </c>
      <c r="H13" s="1" t="s">
        <v>58</v>
      </c>
      <c r="I13" s="1" t="s">
        <v>87</v>
      </c>
      <c r="J13" s="1" t="s">
        <v>73</v>
      </c>
      <c r="K13" s="1" t="s">
        <v>54</v>
      </c>
      <c r="L13" s="1" t="s">
        <v>57</v>
      </c>
      <c r="M13" s="1" t="s">
        <v>71</v>
      </c>
      <c r="N13" s="1" t="s">
        <v>52</v>
      </c>
      <c r="O13" s="1" t="s">
        <v>53</v>
      </c>
      <c r="P13" s="1" t="s">
        <v>56</v>
      </c>
      <c r="Q13" s="1" t="s">
        <v>86</v>
      </c>
      <c r="R13" s="1" t="s">
        <v>89</v>
      </c>
      <c r="S13" s="1" t="s">
        <v>84</v>
      </c>
      <c r="T13" s="1" t="s">
        <v>90</v>
      </c>
      <c r="U13" s="1" t="s">
        <v>88</v>
      </c>
      <c r="V13" s="1">
        <v>1637</v>
      </c>
      <c r="W13" s="1">
        <v>797</v>
      </c>
      <c r="X13" s="1">
        <v>771</v>
      </c>
      <c r="Y13" s="1">
        <v>758</v>
      </c>
      <c r="Z13" s="1">
        <v>738</v>
      </c>
      <c r="AA13" s="1">
        <v>699</v>
      </c>
      <c r="AB13" s="1">
        <v>655</v>
      </c>
      <c r="AC13" s="1">
        <v>567</v>
      </c>
      <c r="AD13" s="1">
        <v>562</v>
      </c>
      <c r="AE13" s="1">
        <v>550</v>
      </c>
      <c r="AF13" s="1">
        <v>547</v>
      </c>
      <c r="AG13" s="1">
        <v>532</v>
      </c>
      <c r="AH13" s="1">
        <v>509</v>
      </c>
      <c r="AI13" s="1">
        <v>486</v>
      </c>
      <c r="AJ13" s="1">
        <v>482</v>
      </c>
      <c r="AK13" s="1">
        <v>420</v>
      </c>
      <c r="AL13" s="1">
        <v>406</v>
      </c>
      <c r="AM13" s="1">
        <v>398</v>
      </c>
      <c r="AN13" s="1">
        <v>396</v>
      </c>
      <c r="AO13" s="1">
        <v>385</v>
      </c>
      <c r="AP13" s="14">
        <v>5.2368917751687512E-2</v>
      </c>
      <c r="AQ13" s="14">
        <v>2.5496656962794715E-2</v>
      </c>
      <c r="AR13" s="14">
        <v>2.4664896509805176E-2</v>
      </c>
      <c r="AS13" s="14">
        <v>2.4249016283310408E-2</v>
      </c>
      <c r="AT13" s="14">
        <v>2.360920055024153E-2</v>
      </c>
      <c r="AU13" s="14">
        <v>2.2361559870757223E-2</v>
      </c>
      <c r="AV13" s="14">
        <v>2.0953965258005695E-2</v>
      </c>
      <c r="AW13" s="14">
        <v>1.8138776032502638E-2</v>
      </c>
      <c r="AX13" s="14">
        <v>1.797882209923542E-2</v>
      </c>
      <c r="AY13" s="14">
        <v>1.7594932659394096E-2</v>
      </c>
      <c r="AZ13" s="14">
        <v>1.7498960299433763E-2</v>
      </c>
      <c r="BA13" s="14">
        <v>1.7019098499632106E-2</v>
      </c>
      <c r="BB13" s="14">
        <v>1.6283310406602899E-2</v>
      </c>
      <c r="BC13" s="14">
        <v>1.5547522313573691E-2</v>
      </c>
      <c r="BD13" s="14">
        <v>1.5419559166959916E-2</v>
      </c>
      <c r="BE13" s="14">
        <v>1.34361303944464E-2</v>
      </c>
      <c r="BF13" s="14">
        <v>1.2988259381298186E-2</v>
      </c>
      <c r="BG13" s="14">
        <v>1.2732333088070636E-2</v>
      </c>
      <c r="BH13" s="14">
        <v>1.2668351514763749E-2</v>
      </c>
      <c r="BI13" s="14">
        <v>1.2316452861575867E-2</v>
      </c>
    </row>
    <row r="14" spans="1:61" x14ac:dyDescent="0.3">
      <c r="A14" s="2">
        <v>44501</v>
      </c>
      <c r="B14" s="1" t="s">
        <v>51</v>
      </c>
      <c r="C14" s="1" t="s">
        <v>59</v>
      </c>
      <c r="D14" s="1" t="s">
        <v>54</v>
      </c>
      <c r="E14" s="1" t="s">
        <v>64</v>
      </c>
      <c r="F14" s="1" t="s">
        <v>79</v>
      </c>
      <c r="G14" s="1" t="s">
        <v>57</v>
      </c>
      <c r="H14" s="1" t="s">
        <v>53</v>
      </c>
      <c r="I14" s="1" t="s">
        <v>68</v>
      </c>
      <c r="J14" s="1" t="s">
        <v>58</v>
      </c>
      <c r="K14" s="1" t="s">
        <v>52</v>
      </c>
      <c r="L14" s="1" t="s">
        <v>72</v>
      </c>
      <c r="M14" s="1" t="s">
        <v>73</v>
      </c>
      <c r="N14" s="1" t="s">
        <v>74</v>
      </c>
      <c r="O14" s="1" t="s">
        <v>70</v>
      </c>
      <c r="P14" s="1" t="s">
        <v>55</v>
      </c>
      <c r="Q14" s="1" t="s">
        <v>78</v>
      </c>
      <c r="R14" s="1" t="s">
        <v>91</v>
      </c>
      <c r="S14" s="1" t="s">
        <v>66</v>
      </c>
      <c r="T14" s="1" t="s">
        <v>92</v>
      </c>
      <c r="U14" s="1" t="s">
        <v>81</v>
      </c>
      <c r="V14" s="1">
        <v>1979</v>
      </c>
      <c r="W14" s="1">
        <v>1101</v>
      </c>
      <c r="X14" s="1">
        <v>908</v>
      </c>
      <c r="Y14" s="1">
        <v>824</v>
      </c>
      <c r="Z14" s="1">
        <v>789</v>
      </c>
      <c r="AA14" s="1">
        <v>778</v>
      </c>
      <c r="AB14" s="1">
        <v>659</v>
      </c>
      <c r="AC14" s="1">
        <v>639</v>
      </c>
      <c r="AD14" s="1">
        <v>626</v>
      </c>
      <c r="AE14" s="1">
        <v>588</v>
      </c>
      <c r="AF14" s="1">
        <v>541</v>
      </c>
      <c r="AG14" s="1">
        <v>538</v>
      </c>
      <c r="AH14" s="1">
        <v>503</v>
      </c>
      <c r="AI14" s="1">
        <v>503</v>
      </c>
      <c r="AJ14" s="1">
        <v>423</v>
      </c>
      <c r="AK14" s="1">
        <v>377</v>
      </c>
      <c r="AL14" s="1">
        <v>371</v>
      </c>
      <c r="AM14" s="1">
        <v>359</v>
      </c>
      <c r="AN14" s="1">
        <v>349</v>
      </c>
      <c r="AO14" s="1">
        <v>343</v>
      </c>
      <c r="AP14" s="14">
        <v>6.1940532081377155E-2</v>
      </c>
      <c r="AQ14" s="14">
        <v>3.4460093896713617E-2</v>
      </c>
      <c r="AR14" s="14">
        <v>2.8419405320813773E-2</v>
      </c>
      <c r="AS14" s="14">
        <v>2.5790297339593114E-2</v>
      </c>
      <c r="AT14" s="14">
        <v>2.4694835680751172E-2</v>
      </c>
      <c r="AU14" s="14">
        <v>2.4350547730829421E-2</v>
      </c>
      <c r="AV14" s="14">
        <v>2.0625978090766824E-2</v>
      </c>
      <c r="AW14" s="14">
        <v>0.02</v>
      </c>
      <c r="AX14" s="14">
        <v>1.9593114241001564E-2</v>
      </c>
      <c r="AY14" s="14">
        <v>1.8403755868544602E-2</v>
      </c>
      <c r="AZ14" s="14">
        <v>1.6932707355242566E-2</v>
      </c>
      <c r="BA14" s="14">
        <v>1.6838810641627542E-2</v>
      </c>
      <c r="BB14" s="14">
        <v>1.5743348982785604E-2</v>
      </c>
      <c r="BC14" s="14">
        <v>1.5743348982785604E-2</v>
      </c>
      <c r="BD14" s="14">
        <v>1.323943661971831E-2</v>
      </c>
      <c r="BE14" s="14">
        <v>1.1799687010954617E-2</v>
      </c>
      <c r="BF14" s="14">
        <v>1.161189358372457E-2</v>
      </c>
      <c r="BG14" s="14">
        <v>1.1236306729264475E-2</v>
      </c>
      <c r="BH14" s="14">
        <v>1.0923317683881065E-2</v>
      </c>
      <c r="BI14" s="14">
        <v>1.0735524256651018E-2</v>
      </c>
    </row>
    <row r="15" spans="1:61" x14ac:dyDescent="0.3">
      <c r="A15" s="2">
        <v>44531</v>
      </c>
      <c r="B15" s="1" t="s">
        <v>51</v>
      </c>
      <c r="C15" s="1" t="s">
        <v>57</v>
      </c>
      <c r="D15" s="1" t="s">
        <v>59</v>
      </c>
      <c r="E15" s="1" t="s">
        <v>52</v>
      </c>
      <c r="F15" s="1" t="s">
        <v>53</v>
      </c>
      <c r="G15" s="1" t="s">
        <v>70</v>
      </c>
      <c r="H15" s="1" t="s">
        <v>54</v>
      </c>
      <c r="I15" s="1" t="s">
        <v>93</v>
      </c>
      <c r="J15" s="1" t="s">
        <v>94</v>
      </c>
      <c r="K15" s="1" t="s">
        <v>79</v>
      </c>
      <c r="L15" s="1" t="s">
        <v>72</v>
      </c>
      <c r="M15" s="1" t="s">
        <v>64</v>
      </c>
      <c r="N15" s="1" t="s">
        <v>58</v>
      </c>
      <c r="O15" s="1" t="s">
        <v>68</v>
      </c>
      <c r="P15" s="1" t="s">
        <v>73</v>
      </c>
      <c r="Q15" s="1" t="s">
        <v>55</v>
      </c>
      <c r="R15" s="1" t="s">
        <v>65</v>
      </c>
      <c r="S15" s="1" t="s">
        <v>60</v>
      </c>
      <c r="T15" s="1" t="s">
        <v>61</v>
      </c>
      <c r="U15" s="1" t="s">
        <v>95</v>
      </c>
      <c r="V15" s="1">
        <v>2128</v>
      </c>
      <c r="W15" s="1">
        <v>1503</v>
      </c>
      <c r="X15" s="1">
        <v>1034</v>
      </c>
      <c r="Y15" s="1">
        <v>1005</v>
      </c>
      <c r="Z15" s="1">
        <v>1003</v>
      </c>
      <c r="AA15" s="1">
        <v>926</v>
      </c>
      <c r="AB15" s="1">
        <v>728</v>
      </c>
      <c r="AC15" s="1">
        <v>695</v>
      </c>
      <c r="AD15" s="1">
        <v>664</v>
      </c>
      <c r="AE15" s="1">
        <v>637</v>
      </c>
      <c r="AF15" s="1">
        <v>623</v>
      </c>
      <c r="AG15" s="1">
        <v>595</v>
      </c>
      <c r="AH15" s="1">
        <v>584</v>
      </c>
      <c r="AI15" s="1">
        <v>510</v>
      </c>
      <c r="AJ15" s="1">
        <v>478</v>
      </c>
      <c r="AK15" s="1">
        <v>468</v>
      </c>
      <c r="AL15" s="1">
        <v>423</v>
      </c>
      <c r="AM15" s="1">
        <v>415</v>
      </c>
      <c r="AN15" s="1">
        <v>394</v>
      </c>
      <c r="AO15" s="1">
        <v>393</v>
      </c>
      <c r="AP15" s="14">
        <v>5.8844675497055E-2</v>
      </c>
      <c r="AQ15" s="14">
        <v>4.1561817327102284E-2</v>
      </c>
      <c r="AR15" s="14">
        <v>2.8592760556369771E-2</v>
      </c>
      <c r="AS15" s="14">
        <v>2.7790835937283966E-2</v>
      </c>
      <c r="AT15" s="14">
        <v>2.7735530791140117E-2</v>
      </c>
      <c r="AU15" s="14">
        <v>2.560628266460194E-2</v>
      </c>
      <c r="AV15" s="14">
        <v>2.013107319636092E-2</v>
      </c>
      <c r="AW15" s="14">
        <v>1.9218538284987419E-2</v>
      </c>
      <c r="AX15" s="14">
        <v>1.8361308519757764E-2</v>
      </c>
      <c r="AY15" s="14">
        <v>1.7614689046815808E-2</v>
      </c>
      <c r="AZ15" s="14">
        <v>1.7227553023808864E-2</v>
      </c>
      <c r="BA15" s="14">
        <v>1.6453280977794985E-2</v>
      </c>
      <c r="BB15" s="14">
        <v>1.6149102674003817E-2</v>
      </c>
      <c r="BC15" s="14">
        <v>1.4102812266681414E-2</v>
      </c>
      <c r="BD15" s="14">
        <v>1.3217929928379836E-2</v>
      </c>
      <c r="BE15" s="14">
        <v>1.2941404197660593E-2</v>
      </c>
      <c r="BF15" s="14">
        <v>1.1697038409423996E-2</v>
      </c>
      <c r="BG15" s="14">
        <v>1.1475817824848602E-2</v>
      </c>
      <c r="BH15" s="14">
        <v>1.089511379033819E-2</v>
      </c>
      <c r="BI15" s="14">
        <v>1.0867461217266266E-2</v>
      </c>
    </row>
    <row r="16" spans="1:61" x14ac:dyDescent="0.3">
      <c r="A16" s="2">
        <v>44562</v>
      </c>
    </row>
    <row r="17" spans="1:1" x14ac:dyDescent="0.3">
      <c r="A17" s="2">
        <v>44593</v>
      </c>
    </row>
    <row r="18" spans="1:1" x14ac:dyDescent="0.3">
      <c r="A18" s="2"/>
    </row>
    <row r="19" spans="1:1" x14ac:dyDescent="0.3">
      <c r="A19" s="2"/>
    </row>
  </sheetData>
  <mergeCells count="3">
    <mergeCell ref="B2:U2"/>
    <mergeCell ref="V2:AO2"/>
    <mergeCell ref="AP2:B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4FFE9-CD1E-485D-A8DE-BCD09A4CF448}">
  <sheetPr codeName="Arkusz4"/>
  <dimension ref="C1:L39"/>
  <sheetViews>
    <sheetView showGridLines="0" tabSelected="1" topLeftCell="A13" workbookViewId="0">
      <selection activeCell="D38" sqref="D38:E39"/>
    </sheetView>
  </sheetViews>
  <sheetFormatPr defaultRowHeight="14.4" x14ac:dyDescent="0.3"/>
  <cols>
    <col min="3" max="3" width="10.6640625" bestFit="1" customWidth="1"/>
    <col min="9" max="9" width="10.6640625" bestFit="1" customWidth="1"/>
  </cols>
  <sheetData>
    <row r="1" s="1" customFormat="1" x14ac:dyDescent="0.3"/>
    <row r="2" s="1" customFormat="1" x14ac:dyDescent="0.3"/>
    <row r="3" s="1" customFormat="1" x14ac:dyDescent="0.3"/>
    <row r="4" s="1" customFormat="1" x14ac:dyDescent="0.3"/>
    <row r="5" s="1" customFormat="1" x14ac:dyDescent="0.3"/>
    <row r="6" s="1" customFormat="1" x14ac:dyDescent="0.3"/>
    <row r="7" s="1" customFormat="1" x14ac:dyDescent="0.3"/>
    <row r="8" s="1" customFormat="1" x14ac:dyDescent="0.3"/>
    <row r="9" s="1" customFormat="1" x14ac:dyDescent="0.3"/>
    <row r="10" s="1" customFormat="1" x14ac:dyDescent="0.3"/>
    <row r="11" s="1" customFormat="1" x14ac:dyDescent="0.3"/>
    <row r="12" s="1" customFormat="1" x14ac:dyDescent="0.3"/>
    <row r="16" s="1" customFormat="1" x14ac:dyDescent="0.3"/>
    <row r="17" spans="3:12" s="1" customFormat="1" x14ac:dyDescent="0.3"/>
    <row r="20" spans="3:12" x14ac:dyDescent="0.3">
      <c r="C20" s="10" t="s">
        <v>14</v>
      </c>
      <c r="D20" s="10"/>
      <c r="E20" s="10"/>
      <c r="F20" s="10"/>
      <c r="I20" s="10" t="s">
        <v>15</v>
      </c>
      <c r="J20" s="10"/>
      <c r="K20" s="10"/>
      <c r="L20" s="10"/>
    </row>
    <row r="22" spans="3:12" x14ac:dyDescent="0.3">
      <c r="C22" t="s">
        <v>2</v>
      </c>
      <c r="D22" s="5" t="s">
        <v>34</v>
      </c>
      <c r="I22" s="1" t="s">
        <v>13</v>
      </c>
      <c r="J22" s="5" t="s">
        <v>51</v>
      </c>
    </row>
    <row r="25" spans="3:12" x14ac:dyDescent="0.3">
      <c r="D25" t="s">
        <v>3</v>
      </c>
      <c r="E25" t="s">
        <v>12</v>
      </c>
      <c r="I25" s="1"/>
      <c r="J25" s="1" t="s">
        <v>3</v>
      </c>
      <c r="K25" s="1" t="s">
        <v>12</v>
      </c>
    </row>
    <row r="26" spans="3:12" x14ac:dyDescent="0.3">
      <c r="C26" s="2">
        <v>44197</v>
      </c>
      <c r="D26" s="16">
        <f>INDEX(Marki!$V4:$AO4,MATCH($D$22,Marki!$B4:$U4,0))</f>
        <v>1811</v>
      </c>
      <c r="E26" s="14">
        <f>INDEX(Marki!$AP4:$BI4,MATCH($D$22,Marki!$B4:$U4,0))</f>
        <v>5.613415163350071E-2</v>
      </c>
      <c r="I26" s="2">
        <v>44197</v>
      </c>
      <c r="J26" s="16">
        <f>INDEX(Model!$V4:$AO4,MATCH($J$22,Model!B4:U4,0))</f>
        <v>1628</v>
      </c>
      <c r="K26" s="14">
        <f>INDEX(Model!$AP4:$BI4,MATCH($J$22,Model!$B4:$U4,0))</f>
        <v>5.0461843655074078E-2</v>
      </c>
    </row>
    <row r="27" spans="3:12" x14ac:dyDescent="0.3">
      <c r="C27" s="2">
        <v>44228</v>
      </c>
      <c r="D27" s="16">
        <f>INDEX(Marki!$V5:$AO5,MATCH($D$22,Marki!$B5:$U5,0))</f>
        <v>1879</v>
      </c>
      <c r="E27" s="14">
        <f>INDEX(Marki!$AP5:$BI5,MATCH($D$22,Marki!$B5:$U5,0))</f>
        <v>4.9769560841235364E-2</v>
      </c>
      <c r="I27" s="2">
        <v>44228</v>
      </c>
      <c r="J27" s="16">
        <f>INDEX(Model!$V5:$AO5,MATCH($J$22,Model!B5:U5,0))</f>
        <v>1991</v>
      </c>
      <c r="K27" s="14">
        <f>INDEX(Model!$AP5:$BI5,MATCH($J$22,Model!$B5:$U5,0))</f>
        <v>3.8654940105228415E-2</v>
      </c>
    </row>
    <row r="28" spans="3:12" x14ac:dyDescent="0.3">
      <c r="C28" s="2">
        <v>44256</v>
      </c>
      <c r="D28" s="16">
        <f>INDEX(Marki!$V6:$AO6,MATCH($D$22,Marki!$B6:$U6,0))</f>
        <v>2390</v>
      </c>
      <c r="E28" s="14">
        <f>INDEX(Marki!$AP6:$BI6,MATCH($D$22,Marki!$B6:$U6,0))</f>
        <v>4.9948797258040918E-2</v>
      </c>
      <c r="I28" s="2">
        <v>44256</v>
      </c>
      <c r="J28" s="16">
        <f>INDEX(Model!$V6:$AO6,MATCH($J$22,Model!B6:U6,0))</f>
        <v>2746</v>
      </c>
      <c r="K28" s="14">
        <f>INDEX(Model!$AP6:$BI6,MATCH($J$22,Model!$B6:$U6,0))</f>
        <v>5.7388869150870443E-2</v>
      </c>
    </row>
    <row r="29" spans="3:12" x14ac:dyDescent="0.3">
      <c r="C29" s="2">
        <v>44287</v>
      </c>
      <c r="D29" s="16">
        <f>INDEX(Marki!$V7:$AO7,MATCH($D$22,Marki!$B7:$U7,0))</f>
        <v>2133</v>
      </c>
      <c r="E29" s="14">
        <f>INDEX(Marki!$AP7:$BI7,MATCH($D$22,Marki!$B7:$U7,0))</f>
        <v>5.3127101546738401E-2</v>
      </c>
      <c r="I29" s="2">
        <v>44287</v>
      </c>
      <c r="J29" s="16">
        <f>INDEX(Model!$V7:$AO7,MATCH($J$22,Model!B7:U7,0))</f>
        <v>2288</v>
      </c>
      <c r="K29" s="14">
        <f>INDEX(Model!$AP7:$BI7,MATCH($J$22,Model!$B7:$U7,0))</f>
        <v>5.6987720740242595E-2</v>
      </c>
    </row>
    <row r="30" spans="3:12" x14ac:dyDescent="0.3">
      <c r="C30" s="2">
        <v>44317</v>
      </c>
      <c r="D30" s="16">
        <f>INDEX(Marki!$V8:$AO8,MATCH($D$22,Marki!$B8:$U8,0))</f>
        <v>2295</v>
      </c>
      <c r="E30" s="14">
        <f>INDEX(Marki!$AP8:$BI8,MATCH($D$22,Marki!$B8:$U8,0))</f>
        <v>5.5450855320382721E-2</v>
      </c>
      <c r="I30" s="2">
        <v>44317</v>
      </c>
      <c r="J30" s="16">
        <f>INDEX(Model!$V8:$AO8,MATCH($J$22,Model!B8:U8,0))</f>
        <v>1649</v>
      </c>
      <c r="K30" s="14">
        <f>INDEX(Model!$AP8:$BI8,MATCH($J$22,Model!$B8:$U8,0))</f>
        <v>3.9842466415386101E-2</v>
      </c>
    </row>
    <row r="31" spans="3:12" x14ac:dyDescent="0.3">
      <c r="C31" s="2">
        <v>44348</v>
      </c>
      <c r="D31" s="16">
        <f>INDEX(Marki!$V9:$AO9,MATCH($D$22,Marki!$B9:$U9,0))</f>
        <v>2023</v>
      </c>
      <c r="E31" s="14">
        <f>INDEX(Marki!$AP9:$BI9,MATCH($D$22,Marki!$B9:$U9,0))</f>
        <v>4.6281256434307153E-2</v>
      </c>
      <c r="I31" s="2">
        <v>44348</v>
      </c>
      <c r="J31" s="16">
        <f>INDEX(Model!$V9:$AO9,MATCH($J$22,Model!B9:U9,0))</f>
        <v>1854</v>
      </c>
      <c r="K31" s="14">
        <f>INDEX(Model!$AP9:$BI9,MATCH($J$22,Model!$B9:$U9,0))</f>
        <v>4.241495275788703E-2</v>
      </c>
    </row>
    <row r="32" spans="3:12" x14ac:dyDescent="0.3">
      <c r="C32" s="2">
        <v>44378</v>
      </c>
      <c r="D32" s="16">
        <f>INDEX(Marki!$V10:$AO10,MATCH($D$22,Marki!$B10:$U10,0))</f>
        <v>2036</v>
      </c>
      <c r="E32" s="14">
        <f>INDEX(Marki!$AP10:$BI10,MATCH($D$22,Marki!$B10:$U10,0))</f>
        <v>5.2408041391026797E-2</v>
      </c>
      <c r="I32" s="2">
        <v>44378</v>
      </c>
      <c r="J32" s="16">
        <f>INDEX(Model!$V10:$AO10,MATCH($J$22,Model!B10:U10,0))</f>
        <v>1348</v>
      </c>
      <c r="K32" s="14">
        <f>INDEX(Model!$AP10:$BI10,MATCH($J$22,Model!$B10:$U10,0))</f>
        <v>3.4698447836495151E-2</v>
      </c>
    </row>
    <row r="33" spans="3:11" x14ac:dyDescent="0.3">
      <c r="C33" s="2">
        <v>44409</v>
      </c>
      <c r="D33" s="16">
        <f>INDEX(Marki!$V11:$AO11,MATCH($D$22,Marki!$B11:$U11,0))</f>
        <v>1960</v>
      </c>
      <c r="E33" s="14">
        <f>INDEX(Marki!$AP11:$BI11,MATCH($D$22,Marki!$B11:$U11,0))</f>
        <v>5.9004154374134504E-2</v>
      </c>
      <c r="I33" s="2">
        <v>44409</v>
      </c>
      <c r="J33" s="16">
        <f>INDEX(Model!$V11:$AO11,MATCH($J$22,Model!B11:U11,0))</f>
        <v>1181</v>
      </c>
      <c r="K33" s="14">
        <f>INDEX(Model!$AP11:$BI11,MATCH($J$22,Model!$B11:$U11,0))</f>
        <v>3.5553013426455539E-2</v>
      </c>
    </row>
    <row r="34" spans="3:11" x14ac:dyDescent="0.3">
      <c r="C34" s="2">
        <v>44440</v>
      </c>
      <c r="D34" s="16">
        <f>INDEX(Marki!$V12:$AO12,MATCH($D$22,Marki!$B12:$U12,0))</f>
        <v>1878</v>
      </c>
      <c r="E34" s="14">
        <f>INDEX(Marki!$AP12:$BI12,MATCH($D$22,Marki!$B12:$U12,0))</f>
        <v>5.676288348194046E-2</v>
      </c>
      <c r="I34" s="2">
        <v>44440</v>
      </c>
      <c r="J34" s="16">
        <f>INDEX(Model!$V12:$AO12,MATCH($J$22,Model!B12:U12,0))</f>
        <v>1487</v>
      </c>
      <c r="K34" s="14">
        <f>INDEX(Model!$AP12:$BI12,MATCH($J$22,Model!$B12:$U12,0))</f>
        <v>4.4944839050929428E-2</v>
      </c>
    </row>
    <row r="35" spans="3:11" x14ac:dyDescent="0.3">
      <c r="C35" s="2">
        <v>44470</v>
      </c>
      <c r="D35" s="16">
        <f>INDEX(Marki!$V13:$AO13,MATCH($D$22,Marki!$B13:$U13,0))</f>
        <v>1928</v>
      </c>
      <c r="E35" s="14">
        <f>INDEX(Marki!$AP13:$BI13,MATCH($D$22,Marki!$B13:$U13,0))</f>
        <v>6.1678236667839663E-2</v>
      </c>
      <c r="I35" s="2">
        <v>44470</v>
      </c>
      <c r="J35" s="16">
        <f>INDEX(Model!$V13:$AO13,MATCH($J$22,Model!B13:U13,0))</f>
        <v>1637</v>
      </c>
      <c r="K35" s="14">
        <f>INDEX(Model!$AP13:$BI13,MATCH($J$22,Model!$B13:$U13,0))</f>
        <v>5.2368917751687512E-2</v>
      </c>
    </row>
    <row r="36" spans="3:11" x14ac:dyDescent="0.3">
      <c r="C36" s="2">
        <v>44501</v>
      </c>
      <c r="D36" s="16">
        <f>INDEX(Marki!$V14:$AO14,MATCH($D$22,Marki!$B14:$U14,0))</f>
        <v>2003</v>
      </c>
      <c r="E36" s="14">
        <f>INDEX(Marki!$AP14:$BI14,MATCH($D$22,Marki!$B14:$U14,0))</f>
        <v>6.2691705790297342E-2</v>
      </c>
      <c r="I36" s="2">
        <v>44501</v>
      </c>
      <c r="J36" s="16">
        <f>INDEX(Model!$V14:$AO14,MATCH($J$22,Model!B14:U14,0))</f>
        <v>1979</v>
      </c>
      <c r="K36" s="14">
        <f>INDEX(Model!$AP14:$BI14,MATCH($J$22,Model!$B14:$U14,0))</f>
        <v>6.1940532081377155E-2</v>
      </c>
    </row>
    <row r="37" spans="3:11" x14ac:dyDescent="0.3">
      <c r="C37" s="2">
        <v>44531</v>
      </c>
      <c r="D37" s="16">
        <f>INDEX(Marki!$V15:$AO15,MATCH($D$22,Marki!$B15:$U15,0))</f>
        <v>1664</v>
      </c>
      <c r="E37" s="14">
        <f>INDEX(Marki!$AP15:$BI15,MATCH($D$22,Marki!$B15:$U15,0))</f>
        <v>4.6013881591682106E-2</v>
      </c>
      <c r="I37" s="2">
        <v>44531</v>
      </c>
      <c r="J37" s="16">
        <f>INDEX(Model!$V15:$AO15,MATCH($J$22,Model!B15:U15,0))</f>
        <v>2128</v>
      </c>
      <c r="K37" s="14">
        <f>INDEX(Model!$AP15:$BI15,MATCH($J$22,Model!$B15:$U15,0))</f>
        <v>5.8844675497055E-2</v>
      </c>
    </row>
    <row r="38" spans="3:11" x14ac:dyDescent="0.3">
      <c r="C38" s="2">
        <v>44562</v>
      </c>
      <c r="E38" s="14"/>
      <c r="I38" s="2">
        <v>44562</v>
      </c>
      <c r="J38" s="1"/>
      <c r="K38" s="1"/>
    </row>
    <row r="39" spans="3:11" x14ac:dyDescent="0.3">
      <c r="C39" s="2">
        <v>44593</v>
      </c>
      <c r="E39" s="14"/>
      <c r="I39" s="2">
        <v>44593</v>
      </c>
      <c r="J39" s="1"/>
      <c r="K39" s="1"/>
    </row>
  </sheetData>
  <mergeCells count="2">
    <mergeCell ref="C20:F20"/>
    <mergeCell ref="I20:L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Polecenia</vt:lpstr>
      <vt:lpstr>Marki</vt:lpstr>
      <vt:lpstr>Model</vt:lpstr>
      <vt:lpstr>Monitor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student</cp:lastModifiedBy>
  <dcterms:created xsi:type="dcterms:W3CDTF">2022-03-18T19:18:31Z</dcterms:created>
  <dcterms:modified xsi:type="dcterms:W3CDTF">2022-03-22T15:25:57Z</dcterms:modified>
</cp:coreProperties>
</file>