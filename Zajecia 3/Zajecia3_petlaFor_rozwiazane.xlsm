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Jakub\OneDrive\Karowa\Big Data - Karowa\Zajecia 3\"/>
    </mc:Choice>
  </mc:AlternateContent>
  <xr:revisionPtr revIDLastSave="0" documentId="13_ncr:1_{7D5E19AA-80A0-4CC3-9B66-9A894C4005E2}" xr6:coauthVersionLast="36" xr6:coauthVersionMax="47" xr10:uidLastSave="{00000000-0000-0000-0000-000000000000}"/>
  <bookViews>
    <workbookView xWindow="0" yWindow="0" windowWidth="17250" windowHeight="5745" activeTab="1" xr2:uid="{6886DDAC-F6D1-4ADD-BD5B-B04E62FE84BD}"/>
  </bookViews>
  <sheets>
    <sheet name="Petla_For" sheetId="11" r:id="rId1"/>
    <sheet name="Wykresy" sheetId="2" r:id="rId2"/>
    <sheet name="Nazwy" sheetId="10" r:id="rId3"/>
    <sheet name="Solver" sheetId="9" r:id="rId4"/>
    <sheet name="Dane_wykresy" sheetId="1" r:id="rId5"/>
  </sheets>
  <definedNames>
    <definedName name="solver_adj" localSheetId="3" hidden="1">Solver!$O$24:$R$25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Solver!$R$24</definedName>
    <definedName name="solver_lhs2" localSheetId="3" hidden="1">Solver!$R$24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Solver!$AR$24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3</definedName>
    <definedName name="solver_rhs1" localSheetId="3" hidden="1">0.01</definedName>
    <definedName name="solver_rhs2" localSheetId="3" hidden="1">0.01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0" i="11" l="1"/>
  <c r="G100" i="11"/>
  <c r="H99" i="11"/>
  <c r="G99" i="11"/>
  <c r="H98" i="11"/>
  <c r="G98" i="11"/>
  <c r="H97" i="11"/>
  <c r="G97" i="11"/>
  <c r="H96" i="11"/>
  <c r="G96" i="11"/>
  <c r="H95" i="11"/>
  <c r="G95" i="11"/>
  <c r="H94" i="11"/>
  <c r="G94" i="11"/>
  <c r="H93" i="11"/>
  <c r="G93" i="11"/>
  <c r="H92" i="11"/>
  <c r="G92" i="11"/>
  <c r="H91" i="11"/>
  <c r="G91" i="11"/>
  <c r="H90" i="11"/>
  <c r="G90" i="11"/>
  <c r="H89" i="11"/>
  <c r="G89" i="11"/>
  <c r="H88" i="11"/>
  <c r="G88" i="11"/>
  <c r="H87" i="11"/>
  <c r="G87" i="11"/>
  <c r="H86" i="11"/>
  <c r="G86" i="11"/>
  <c r="H85" i="11"/>
  <c r="G85" i="11"/>
  <c r="H84" i="11"/>
  <c r="G84" i="11"/>
  <c r="H83" i="11"/>
  <c r="G83" i="11"/>
  <c r="H82" i="11"/>
  <c r="G82" i="11"/>
  <c r="H81" i="11"/>
  <c r="G81" i="11"/>
  <c r="H80" i="11"/>
  <c r="G80" i="11"/>
  <c r="H79" i="11"/>
  <c r="G79" i="11"/>
  <c r="H78" i="11"/>
  <c r="G78" i="11"/>
  <c r="H77" i="11"/>
  <c r="G77" i="11"/>
  <c r="H76" i="11"/>
  <c r="G76" i="11"/>
  <c r="H75" i="11"/>
  <c r="G75" i="11"/>
  <c r="H74" i="11"/>
  <c r="G74" i="11"/>
  <c r="H73" i="11"/>
  <c r="G73" i="11"/>
  <c r="H72" i="11"/>
  <c r="G72" i="11"/>
  <c r="H71" i="11"/>
  <c r="G71" i="11"/>
  <c r="H70" i="11"/>
  <c r="G70" i="11"/>
  <c r="H69" i="11"/>
  <c r="G69" i="11"/>
  <c r="H68" i="11"/>
  <c r="G68" i="11"/>
  <c r="H67" i="11"/>
  <c r="G67" i="11"/>
  <c r="H66" i="11"/>
  <c r="G66" i="11"/>
  <c r="H65" i="11"/>
  <c r="G65" i="11"/>
  <c r="H64" i="11"/>
  <c r="G64" i="11"/>
  <c r="H63" i="11"/>
  <c r="G63" i="11"/>
  <c r="H62" i="11"/>
  <c r="G62" i="11"/>
  <c r="H61" i="11"/>
  <c r="G61" i="11"/>
  <c r="H60" i="11"/>
  <c r="G60" i="11"/>
  <c r="H59" i="11"/>
  <c r="G59" i="11"/>
  <c r="H58" i="11"/>
  <c r="G58" i="11"/>
  <c r="H57" i="11"/>
  <c r="G57" i="11"/>
  <c r="H56" i="11"/>
  <c r="G56" i="11"/>
  <c r="H55" i="11"/>
  <c r="G55" i="11"/>
  <c r="H54" i="11"/>
  <c r="G54" i="11"/>
  <c r="H53" i="11"/>
  <c r="G53" i="11"/>
  <c r="H52" i="11"/>
  <c r="G52" i="11"/>
  <c r="H51" i="11"/>
  <c r="G51" i="11"/>
  <c r="H50" i="11"/>
  <c r="G50" i="11"/>
  <c r="H49" i="11"/>
  <c r="G49" i="11"/>
  <c r="H48" i="11"/>
  <c r="G48" i="11"/>
  <c r="H47" i="11"/>
  <c r="G47" i="11"/>
  <c r="H46" i="11"/>
  <c r="G46" i="11"/>
  <c r="H45" i="11"/>
  <c r="G45" i="11"/>
  <c r="H44" i="11"/>
  <c r="G44" i="11"/>
  <c r="H43" i="11"/>
  <c r="G43" i="11"/>
  <c r="H42" i="11"/>
  <c r="G42" i="11"/>
  <c r="H41" i="11"/>
  <c r="G41" i="11"/>
  <c r="H40" i="11"/>
  <c r="G40" i="11"/>
  <c r="H39" i="11"/>
  <c r="G39" i="11"/>
  <c r="H38" i="11"/>
  <c r="G38" i="11"/>
  <c r="H37" i="11"/>
  <c r="G37" i="11"/>
  <c r="H36" i="11"/>
  <c r="G36" i="11"/>
  <c r="H35" i="11"/>
  <c r="G35" i="11"/>
  <c r="H34" i="11"/>
  <c r="G34" i="11"/>
  <c r="H33" i="11"/>
  <c r="G33" i="11"/>
  <c r="H32" i="11"/>
  <c r="G32" i="11"/>
  <c r="H31" i="11"/>
  <c r="G31" i="11"/>
  <c r="H30" i="11"/>
  <c r="G30" i="11"/>
  <c r="H29" i="11"/>
  <c r="G29" i="11"/>
  <c r="H28" i="11"/>
  <c r="G28" i="11"/>
  <c r="H27" i="11"/>
  <c r="G27" i="11"/>
  <c r="AH14" i="9" l="1"/>
  <c r="AI14" i="9"/>
  <c r="AJ14" i="9"/>
  <c r="AK14" i="9"/>
  <c r="AL14" i="9"/>
  <c r="AM14" i="9"/>
  <c r="AN14" i="9"/>
  <c r="AO14" i="9"/>
  <c r="AP14" i="9"/>
  <c r="AG14" i="9"/>
  <c r="T37" i="9"/>
  <c r="AF37" i="9" s="1"/>
  <c r="T36" i="9"/>
  <c r="AF36" i="9" s="1"/>
  <c r="T35" i="9"/>
  <c r="AF35" i="9" s="1"/>
  <c r="T34" i="9"/>
  <c r="AF34" i="9" s="1"/>
  <c r="T33" i="9"/>
  <c r="AF33" i="9" s="1"/>
  <c r="T32" i="9"/>
  <c r="AF32" i="9" s="1"/>
  <c r="T31" i="9"/>
  <c r="AF31" i="9" s="1"/>
  <c r="T30" i="9"/>
  <c r="AF30" i="9" s="1"/>
  <c r="T29" i="9"/>
  <c r="AF29" i="9" s="1"/>
  <c r="T28" i="9"/>
  <c r="AF28" i="9" s="1"/>
  <c r="T27" i="9"/>
  <c r="AF27" i="9" s="1"/>
  <c r="T26" i="9"/>
  <c r="AF26" i="9" s="1"/>
  <c r="T25" i="9"/>
  <c r="AF25" i="9" s="1"/>
  <c r="T24" i="9"/>
  <c r="AF24" i="9" s="1"/>
  <c r="M20" i="9"/>
  <c r="AD25" i="9" s="1"/>
  <c r="L20" i="9"/>
  <c r="AC25" i="9" s="1"/>
  <c r="K20" i="9"/>
  <c r="AB24" i="9" s="1"/>
  <c r="J20" i="9"/>
  <c r="AA26" i="9" s="1"/>
  <c r="I20" i="9"/>
  <c r="Z25" i="9" s="1"/>
  <c r="H20" i="9"/>
  <c r="Y25" i="9" s="1"/>
  <c r="G20" i="9"/>
  <c r="X24" i="9" s="1"/>
  <c r="F20" i="9"/>
  <c r="W26" i="9" s="1"/>
  <c r="E20" i="9"/>
  <c r="V25" i="9" s="1"/>
  <c r="D20" i="9"/>
  <c r="U24" i="9" s="1"/>
  <c r="AA24" i="9" l="1"/>
  <c r="W24" i="9"/>
  <c r="AI24" i="9" s="1"/>
  <c r="AB37" i="9"/>
  <c r="X37" i="9"/>
  <c r="AD36" i="9"/>
  <c r="Z36" i="9"/>
  <c r="V36" i="9"/>
  <c r="AB35" i="9"/>
  <c r="AN35" i="9" s="1"/>
  <c r="X35" i="9"/>
  <c r="AD34" i="9"/>
  <c r="AP34" i="9" s="1"/>
  <c r="Z34" i="9"/>
  <c r="V34" i="9"/>
  <c r="AB33" i="9"/>
  <c r="X33" i="9"/>
  <c r="AJ33" i="9" s="1"/>
  <c r="AD32" i="9"/>
  <c r="Z32" i="9"/>
  <c r="AL32" i="9" s="1"/>
  <c r="V32" i="9"/>
  <c r="AB31" i="9"/>
  <c r="X31" i="9"/>
  <c r="AD30" i="9"/>
  <c r="Z30" i="9"/>
  <c r="V30" i="9"/>
  <c r="AH30" i="9" s="1"/>
  <c r="AB29" i="9"/>
  <c r="X29" i="9"/>
  <c r="AD28" i="9"/>
  <c r="Z28" i="9"/>
  <c r="V28" i="9"/>
  <c r="AB27" i="9"/>
  <c r="AN27" i="9" s="1"/>
  <c r="X27" i="9"/>
  <c r="AD26" i="9"/>
  <c r="AP26" i="9" s="1"/>
  <c r="Z26" i="9"/>
  <c r="V26" i="9"/>
  <c r="AB25" i="9"/>
  <c r="X25" i="9"/>
  <c r="AJ25" i="9" s="1"/>
  <c r="AD24" i="9"/>
  <c r="Z24" i="9"/>
  <c r="AL24" i="9" s="1"/>
  <c r="V24" i="9"/>
  <c r="AA37" i="9"/>
  <c r="W37" i="9"/>
  <c r="AC36" i="9"/>
  <c r="AO36" i="9" s="1"/>
  <c r="Y36" i="9"/>
  <c r="U36" i="9"/>
  <c r="AA35" i="9"/>
  <c r="W35" i="9"/>
  <c r="AC34" i="9"/>
  <c r="Y34" i="9"/>
  <c r="U34" i="9"/>
  <c r="AA33" i="9"/>
  <c r="AM33" i="9" s="1"/>
  <c r="W33" i="9"/>
  <c r="AC32" i="9"/>
  <c r="Y32" i="9"/>
  <c r="U32" i="9"/>
  <c r="AG32" i="9" s="1"/>
  <c r="AA31" i="9"/>
  <c r="W31" i="9"/>
  <c r="AI31" i="9" s="1"/>
  <c r="AC30" i="9"/>
  <c r="Y30" i="9"/>
  <c r="AK30" i="9" s="1"/>
  <c r="U30" i="9"/>
  <c r="AA29" i="9"/>
  <c r="W29" i="9"/>
  <c r="AC28" i="9"/>
  <c r="AO28" i="9" s="1"/>
  <c r="Y28" i="9"/>
  <c r="U28" i="9"/>
  <c r="AA27" i="9"/>
  <c r="W27" i="9"/>
  <c r="AC26" i="9"/>
  <c r="Y26" i="9"/>
  <c r="U26" i="9"/>
  <c r="AA25" i="9"/>
  <c r="W25" i="9"/>
  <c r="AC24" i="9"/>
  <c r="Y24" i="9"/>
  <c r="AD37" i="9"/>
  <c r="Z37" i="9"/>
  <c r="V37" i="9"/>
  <c r="AB36" i="9"/>
  <c r="X36" i="9"/>
  <c r="AD35" i="9"/>
  <c r="Z35" i="9"/>
  <c r="V35" i="9"/>
  <c r="AB34" i="9"/>
  <c r="X34" i="9"/>
  <c r="AD33" i="9"/>
  <c r="Z33" i="9"/>
  <c r="V33" i="9"/>
  <c r="AH33" i="9" s="1"/>
  <c r="AB32" i="9"/>
  <c r="X32" i="9"/>
  <c r="AJ32" i="9" s="1"/>
  <c r="AD31" i="9"/>
  <c r="Z31" i="9"/>
  <c r="AL31" i="9" s="1"/>
  <c r="V31" i="9"/>
  <c r="AB30" i="9"/>
  <c r="AN30" i="9" s="1"/>
  <c r="X30" i="9"/>
  <c r="AD29" i="9"/>
  <c r="AP29" i="9" s="1"/>
  <c r="Z29" i="9"/>
  <c r="V29" i="9"/>
  <c r="AB28" i="9"/>
  <c r="X28" i="9"/>
  <c r="AD27" i="9"/>
  <c r="Z27" i="9"/>
  <c r="V27" i="9"/>
  <c r="AB26" i="9"/>
  <c r="AN26" i="9" s="1"/>
  <c r="X26" i="9"/>
  <c r="AC37" i="9"/>
  <c r="Y37" i="9"/>
  <c r="U37" i="9"/>
  <c r="AA36" i="9"/>
  <c r="W36" i="9"/>
  <c r="AC35" i="9"/>
  <c r="Y35" i="9"/>
  <c r="AK35" i="9" s="1"/>
  <c r="U35" i="9"/>
  <c r="AA34" i="9"/>
  <c r="AM34" i="9" s="1"/>
  <c r="W34" i="9"/>
  <c r="AC33" i="9"/>
  <c r="AO33" i="9" s="1"/>
  <c r="Y33" i="9"/>
  <c r="U33" i="9"/>
  <c r="AG33" i="9" s="1"/>
  <c r="AA32" i="9"/>
  <c r="W32" i="9"/>
  <c r="AI32" i="9" s="1"/>
  <c r="AC31" i="9"/>
  <c r="Y31" i="9"/>
  <c r="AK31" i="9" s="1"/>
  <c r="U31" i="9"/>
  <c r="AA30" i="9"/>
  <c r="AM30" i="9" s="1"/>
  <c r="W30" i="9"/>
  <c r="AC29" i="9"/>
  <c r="AO29" i="9" s="1"/>
  <c r="Y29" i="9"/>
  <c r="U29" i="9"/>
  <c r="AG29" i="9" s="1"/>
  <c r="AA28" i="9"/>
  <c r="W28" i="9"/>
  <c r="AC27" i="9"/>
  <c r="Y27" i="9"/>
  <c r="U27" i="9"/>
  <c r="U25" i="9"/>
  <c r="AN36" i="9"/>
  <c r="AN32" i="9"/>
  <c r="AN31" i="9"/>
  <c r="AN34" i="9"/>
  <c r="AN24" i="9"/>
  <c r="AN37" i="9"/>
  <c r="AN33" i="9"/>
  <c r="AN29" i="9"/>
  <c r="AN25" i="9"/>
  <c r="AN28" i="9"/>
  <c r="AG35" i="9"/>
  <c r="AG31" i="9"/>
  <c r="AG27" i="9"/>
  <c r="AG36" i="9"/>
  <c r="AG28" i="9"/>
  <c r="AG25" i="9"/>
  <c r="AG30" i="9"/>
  <c r="AG34" i="9"/>
  <c r="AG26" i="9"/>
  <c r="AG24" i="9"/>
  <c r="AO35" i="9"/>
  <c r="AO31" i="9"/>
  <c r="AO27" i="9"/>
  <c r="AO32" i="9"/>
  <c r="AO34" i="9"/>
  <c r="AO25" i="9"/>
  <c r="AO24" i="9"/>
  <c r="AO30" i="9"/>
  <c r="AO26" i="9"/>
  <c r="AI34" i="9"/>
  <c r="AI30" i="9"/>
  <c r="AI26" i="9"/>
  <c r="AI35" i="9"/>
  <c r="AI27" i="9"/>
  <c r="AI33" i="9"/>
  <c r="AI28" i="9"/>
  <c r="AI29" i="9"/>
  <c r="AI36" i="9"/>
  <c r="AI25" i="9"/>
  <c r="AK37" i="9"/>
  <c r="AK33" i="9"/>
  <c r="AK29" i="9"/>
  <c r="AK25" i="9"/>
  <c r="AK34" i="9"/>
  <c r="AK26" i="9"/>
  <c r="AK27" i="9"/>
  <c r="AK24" i="9"/>
  <c r="AK36" i="9"/>
  <c r="AK32" i="9"/>
  <c r="AK28" i="9"/>
  <c r="AJ34" i="9"/>
  <c r="AJ29" i="9"/>
  <c r="AJ36" i="9"/>
  <c r="AJ30" i="9"/>
  <c r="AJ35" i="9"/>
  <c r="AJ27" i="9"/>
  <c r="AJ24" i="9"/>
  <c r="AJ28" i="9"/>
  <c r="AJ31" i="9"/>
  <c r="AJ26" i="9"/>
  <c r="AL33" i="9"/>
  <c r="AL36" i="9"/>
  <c r="AL28" i="9"/>
  <c r="AL35" i="9"/>
  <c r="AL27" i="9"/>
  <c r="AL26" i="9"/>
  <c r="AL30" i="9"/>
  <c r="AL29" i="9"/>
  <c r="AL25" i="9"/>
  <c r="AL34" i="9"/>
  <c r="AM36" i="9"/>
  <c r="AM32" i="9"/>
  <c r="AM28" i="9"/>
  <c r="AM24" i="9"/>
  <c r="AM37" i="9"/>
  <c r="AM29" i="9"/>
  <c r="AM31" i="9"/>
  <c r="AM26" i="9"/>
  <c r="AM27" i="9"/>
  <c r="AM25" i="9"/>
  <c r="AM35" i="9"/>
  <c r="AH35" i="9"/>
  <c r="AH31" i="9"/>
  <c r="AH34" i="9"/>
  <c r="AH26" i="9"/>
  <c r="AH29" i="9"/>
  <c r="AH28" i="9"/>
  <c r="AH32" i="9"/>
  <c r="AH27" i="9"/>
  <c r="AH24" i="9"/>
  <c r="AH36" i="9"/>
  <c r="AH25" i="9"/>
  <c r="AP35" i="9"/>
  <c r="AP31" i="9"/>
  <c r="AP30" i="9"/>
  <c r="AP33" i="9"/>
  <c r="AP36" i="9"/>
  <c r="AP25" i="9"/>
  <c r="AP32" i="9"/>
  <c r="AP24" i="9"/>
  <c r="AP27" i="9"/>
  <c r="AP28" i="9"/>
  <c r="AR24" i="9" l="1"/>
  <c r="AJ15" i="9"/>
  <c r="AJ37" i="9"/>
  <c r="AO15" i="9"/>
  <c r="AO37" i="9"/>
  <c r="AH15" i="9"/>
  <c r="AH37" i="9"/>
  <c r="AL15" i="9"/>
  <c r="AL37" i="9"/>
  <c r="AP15" i="9"/>
  <c r="AP37" i="9"/>
  <c r="AI15" i="9"/>
  <c r="AI37" i="9"/>
  <c r="AG15" i="9"/>
  <c r="AG37" i="9"/>
  <c r="AR32" i="9"/>
  <c r="AR30" i="9"/>
  <c r="AR26" i="9"/>
  <c r="AR28" i="9"/>
  <c r="AN15" i="9"/>
  <c r="AM15" i="9"/>
  <c r="AR36" i="9"/>
  <c r="AR25" i="9"/>
  <c r="AK15" i="9"/>
  <c r="AR34" i="9"/>
  <c r="AR27" i="9"/>
  <c r="AR33" i="9"/>
  <c r="AR29" i="9"/>
  <c r="AR31" i="9"/>
  <c r="AR35" i="9"/>
  <c r="AR37" i="9" l="1"/>
  <c r="Q51" i="2" l="1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S27" i="2"/>
  <c r="R27" i="2"/>
  <c r="Q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7" i="2"/>
  <c r="N27" i="2"/>
  <c r="M27" i="2"/>
  <c r="I27" i="2"/>
  <c r="J27" i="2"/>
  <c r="H28" i="2"/>
  <c r="I28" i="2" s="1"/>
  <c r="N28" i="2" l="1"/>
  <c r="S28" i="2"/>
  <c r="R28" i="2"/>
  <c r="M28" i="2"/>
  <c r="H29" i="2"/>
  <c r="J28" i="2"/>
  <c r="S29" i="2" l="1"/>
  <c r="R29" i="2"/>
  <c r="N29" i="2"/>
  <c r="M29" i="2"/>
  <c r="H30" i="2"/>
  <c r="I29" i="2"/>
  <c r="J29" i="2"/>
  <c r="R30" i="2" l="1"/>
  <c r="S30" i="2"/>
  <c r="M30" i="2"/>
  <c r="N30" i="2"/>
  <c r="H31" i="2"/>
  <c r="I30" i="2"/>
  <c r="J30" i="2"/>
  <c r="R31" i="2" l="1"/>
  <c r="S31" i="2"/>
  <c r="N31" i="2"/>
  <c r="M31" i="2"/>
  <c r="H32" i="2"/>
  <c r="I31" i="2"/>
  <c r="J31" i="2"/>
  <c r="S32" i="2" l="1"/>
  <c r="R32" i="2"/>
  <c r="M32" i="2"/>
  <c r="N32" i="2"/>
  <c r="H33" i="2"/>
  <c r="I32" i="2"/>
  <c r="J32" i="2"/>
  <c r="R33" i="2" l="1"/>
  <c r="S33" i="2"/>
  <c r="N33" i="2"/>
  <c r="M33" i="2"/>
  <c r="H34" i="2"/>
  <c r="I33" i="2"/>
  <c r="J33" i="2"/>
  <c r="S34" i="2" l="1"/>
  <c r="R34" i="2"/>
  <c r="M34" i="2"/>
  <c r="N34" i="2"/>
  <c r="H35" i="2"/>
  <c r="I34" i="2"/>
  <c r="J34" i="2"/>
  <c r="S35" i="2" l="1"/>
  <c r="R35" i="2"/>
  <c r="N35" i="2"/>
  <c r="M35" i="2"/>
  <c r="H36" i="2"/>
  <c r="I35" i="2"/>
  <c r="J35" i="2"/>
  <c r="R36" i="2" l="1"/>
  <c r="S36" i="2"/>
  <c r="M36" i="2"/>
  <c r="N36" i="2"/>
  <c r="H37" i="2"/>
  <c r="I36" i="2"/>
  <c r="J36" i="2"/>
  <c r="S37" i="2" l="1"/>
  <c r="R37" i="2"/>
  <c r="N37" i="2"/>
  <c r="M37" i="2"/>
  <c r="H38" i="2"/>
  <c r="J37" i="2"/>
  <c r="I37" i="2"/>
  <c r="R38" i="2" l="1"/>
  <c r="S38" i="2"/>
  <c r="M38" i="2"/>
  <c r="N38" i="2"/>
  <c r="H39" i="2"/>
  <c r="I38" i="2"/>
  <c r="J38" i="2"/>
  <c r="S39" i="2" l="1"/>
  <c r="R39" i="2"/>
  <c r="N39" i="2"/>
  <c r="M39" i="2"/>
  <c r="H40" i="2"/>
  <c r="I39" i="2"/>
  <c r="J39" i="2"/>
  <c r="S40" i="2" l="1"/>
  <c r="R40" i="2"/>
  <c r="M40" i="2"/>
  <c r="N40" i="2"/>
  <c r="H41" i="2"/>
  <c r="I40" i="2"/>
  <c r="J40" i="2"/>
  <c r="S41" i="2" l="1"/>
  <c r="R41" i="2"/>
  <c r="N41" i="2"/>
  <c r="M41" i="2"/>
  <c r="H42" i="2"/>
  <c r="I41" i="2"/>
  <c r="J41" i="2"/>
  <c r="S42" i="2" l="1"/>
  <c r="R42" i="2"/>
  <c r="M42" i="2"/>
  <c r="N42" i="2"/>
  <c r="H43" i="2"/>
  <c r="I42" i="2"/>
  <c r="J42" i="2"/>
  <c r="S43" i="2" l="1"/>
  <c r="R43" i="2"/>
  <c r="N43" i="2"/>
  <c r="M43" i="2"/>
  <c r="H44" i="2"/>
  <c r="J43" i="2"/>
  <c r="I43" i="2"/>
  <c r="S44" i="2" l="1"/>
  <c r="R44" i="2"/>
  <c r="M44" i="2"/>
  <c r="N44" i="2"/>
  <c r="H45" i="2"/>
  <c r="I44" i="2"/>
  <c r="J44" i="2"/>
  <c r="S45" i="2" l="1"/>
  <c r="R45" i="2"/>
  <c r="N45" i="2"/>
  <c r="M45" i="2"/>
  <c r="H46" i="2"/>
  <c r="I45" i="2"/>
  <c r="J45" i="2"/>
  <c r="R46" i="2" l="1"/>
  <c r="S46" i="2"/>
  <c r="M46" i="2"/>
  <c r="N46" i="2"/>
  <c r="H47" i="2"/>
  <c r="I46" i="2"/>
  <c r="J46" i="2"/>
  <c r="R47" i="2" l="1"/>
  <c r="S47" i="2"/>
  <c r="N47" i="2"/>
  <c r="M47" i="2"/>
  <c r="H48" i="2"/>
  <c r="J47" i="2"/>
  <c r="I47" i="2"/>
  <c r="S48" i="2" l="1"/>
  <c r="R48" i="2"/>
  <c r="M48" i="2"/>
  <c r="N48" i="2"/>
  <c r="H49" i="2"/>
  <c r="I48" i="2"/>
  <c r="J48" i="2"/>
  <c r="R49" i="2" l="1"/>
  <c r="S49" i="2"/>
  <c r="N49" i="2"/>
  <c r="M49" i="2"/>
  <c r="H50" i="2"/>
  <c r="I49" i="2"/>
  <c r="J49" i="2"/>
  <c r="S50" i="2" l="1"/>
  <c r="R50" i="2"/>
  <c r="N50" i="2"/>
  <c r="M50" i="2"/>
  <c r="H51" i="2"/>
  <c r="I50" i="2"/>
  <c r="J50" i="2"/>
  <c r="S51" i="2" l="1"/>
  <c r="R51" i="2"/>
  <c r="N51" i="2"/>
  <c r="M51" i="2"/>
  <c r="I51" i="2"/>
  <c r="J51" i="2"/>
</calcChain>
</file>

<file path=xl/sharedStrings.xml><?xml version="1.0" encoding="utf-8"?>
<sst xmlns="http://schemas.openxmlformats.org/spreadsheetml/2006/main" count="1097" uniqueCount="172">
  <si>
    <t>CZĘŚĆ II    Kwartalne wskaźniki makroekonomiczne</t>
  </si>
  <si>
    <t xml:space="preserve">Aktualizacja: </t>
  </si>
  <si>
    <t>Powrót do spisu</t>
  </si>
  <si>
    <t>WARUNKI ŻYCIA LUDNOŚCI</t>
  </si>
  <si>
    <r>
      <t>Wyszczególnienie 
A – analogiczny okres roku poprzedniego=100
A</t>
    </r>
    <r>
      <rPr>
        <vertAlign val="subscript"/>
        <sz val="10"/>
        <rFont val="Arial CE"/>
        <charset val="238"/>
      </rPr>
      <t xml:space="preserve">1 </t>
    </r>
    <r>
      <rPr>
        <sz val="10"/>
        <rFont val="Arial CE"/>
        <charset val="238"/>
      </rPr>
      <t>– od początku roku do końca okresu
      (analogiczny okres roku poprzedniego=100)
B – okres poprzedni=100</t>
    </r>
  </si>
  <si>
    <t>1 kw.</t>
  </si>
  <si>
    <t>2 kw.</t>
  </si>
  <si>
    <t>3 kw.</t>
  </si>
  <si>
    <t>4 kw.</t>
  </si>
  <si>
    <r>
      <t>Przeciętne miesięczne wynagrodzenie nominalne brutto</t>
    </r>
    <r>
      <rPr>
        <vertAlign val="superscript"/>
        <sz val="10"/>
        <rFont val="Arial CE"/>
        <family val="2"/>
        <charset val="238"/>
      </rPr>
      <t xml:space="preserve">a </t>
    </r>
    <r>
      <rPr>
        <sz val="10"/>
        <rFont val="Arial CE"/>
        <charset val="238"/>
      </rPr>
      <t>w gospodarce narodowej</t>
    </r>
  </si>
  <si>
    <t>w zł</t>
  </si>
  <si>
    <t>A</t>
  </si>
  <si>
    <r>
      <t>A</t>
    </r>
    <r>
      <rPr>
        <vertAlign val="subscript"/>
        <sz val="10"/>
        <rFont val="Arial CE"/>
        <charset val="238"/>
      </rPr>
      <t>1</t>
    </r>
  </si>
  <si>
    <t>B</t>
  </si>
  <si>
    <t>Przeciętne miesięczne wynagrodzenie nominalne brutto  w sferze budżetowej</t>
  </si>
  <si>
    <t>.</t>
  </si>
  <si>
    <r>
      <t>Przeciętne miesięczne wynagrodzenie nominalne brutto  w sektorze przedsiębiorstw</t>
    </r>
    <r>
      <rPr>
        <vertAlign val="superscript"/>
        <sz val="10"/>
        <rFont val="Arial CE"/>
        <charset val="238"/>
      </rPr>
      <t>b</t>
    </r>
  </si>
  <si>
    <r>
      <t>Przeciętne miesięczne wynagrodzenie nominalne brutto w przemyśle</t>
    </r>
    <r>
      <rPr>
        <vertAlign val="superscript"/>
        <sz val="10"/>
        <rFont val="Arial CE"/>
        <charset val="238"/>
      </rPr>
      <t>b</t>
    </r>
    <r>
      <rPr>
        <sz val="10"/>
        <rFont val="Arial CE"/>
        <charset val="238"/>
      </rPr>
      <t xml:space="preserve">  </t>
    </r>
  </si>
  <si>
    <t>w górnictwie i wydobywaniu</t>
  </si>
  <si>
    <t>w przetwórstwie przemysłowym</t>
  </si>
  <si>
    <r>
      <t>w wytwarzaniu i zaopatrywaniu w energię elektryczną, gaz, parę wodną i gorącą wodę</t>
    </r>
    <r>
      <rPr>
        <vertAlign val="superscript"/>
        <sz val="10"/>
        <rFont val="Arial CE"/>
        <family val="2"/>
        <charset val="238"/>
      </rPr>
      <t>∆</t>
    </r>
  </si>
  <si>
    <r>
      <t>w dostawie wody; gospodarowaniu ściekami i odpadami; rekultywacji</t>
    </r>
    <r>
      <rPr>
        <vertAlign val="superscript"/>
        <sz val="10"/>
        <rFont val="Arial CE"/>
        <family val="2"/>
        <charset val="238"/>
      </rPr>
      <t>∆</t>
    </r>
  </si>
  <si>
    <r>
      <t>Przeciętne miesięczne wynagrodzenie nominalne brutto w budownictwie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</si>
  <si>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handlu; naprawie pojazdów samochodowych</t>
    </r>
    <r>
      <rPr>
        <vertAlign val="superscript"/>
        <sz val="10"/>
        <rFont val="Arial"/>
        <family val="2"/>
        <charset val="238"/>
      </rPr>
      <t xml:space="preserve">∆, 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</si>
  <si>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transporcie i gospodarce magazynowej</t>
    </r>
    <r>
      <rPr>
        <vertAlign val="superscript"/>
        <sz val="10"/>
        <rFont val="Arial CE"/>
        <family val="2"/>
        <charset val="238"/>
      </rPr>
      <t xml:space="preserve">b </t>
    </r>
  </si>
  <si>
    <r>
      <t>Przeciętne miesięczne wynagrodzenia nominalne brutto w informacji i komunikacji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</si>
  <si>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działalności finansowej i ubezpieczeniowej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</si>
  <si>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
w obsłudze rynku nieruchomości</t>
    </r>
    <r>
      <rPr>
        <vertAlign val="superscript"/>
        <sz val="10"/>
        <rFont val="Arial"/>
        <family val="2"/>
        <charset val="238"/>
      </rPr>
      <t xml:space="preserve">∆, </t>
    </r>
    <r>
      <rPr>
        <vertAlign val="superscript"/>
        <sz val="10"/>
        <rFont val="Arial CE"/>
        <family val="2"/>
        <charset val="238"/>
      </rPr>
      <t>b</t>
    </r>
  </si>
  <si>
    <t>3929,,47</t>
  </si>
  <si>
    <r>
      <t>Przeciętne miesięczne wynagrodzenie nominalne brutto
w edukacji</t>
    </r>
    <r>
      <rPr>
        <vertAlign val="superscript"/>
        <sz val="10"/>
        <rFont val="Arial CE"/>
        <charset val="238"/>
      </rPr>
      <t>b</t>
    </r>
  </si>
  <si>
    <r>
      <t>Przeciętne miesięczne wynagrodzenie nominalne brutto
w opiece zdrowotnej i pomocy społecznej</t>
    </r>
    <r>
      <rPr>
        <vertAlign val="superscript"/>
        <sz val="10"/>
        <rFont val="Arial CE"/>
        <family val="2"/>
        <charset val="238"/>
      </rPr>
      <t>b</t>
    </r>
  </si>
  <si>
    <t xml:space="preserve">Przeciętne miesięczne wynagrodzenie realne
brutto w gospodarce narodowej </t>
  </si>
  <si>
    <r>
      <t>Przeciętne miesięczne wynagrodzenie realne brutto w sektorze przedsiębiorstw</t>
    </r>
    <r>
      <rPr>
        <vertAlign val="superscript"/>
        <sz val="10"/>
        <rFont val="Arial CE"/>
        <charset val="238"/>
      </rPr>
      <t>b</t>
    </r>
  </si>
  <si>
    <t>Przeciętna liczba emerytów i rencistów pobierających emerytury i renty z pozarolniczego systemu ubezpieczeń społecznych</t>
  </si>
  <si>
    <t>w tys.</t>
  </si>
  <si>
    <t xml:space="preserve">Przeciętna miesięczna nominalna emerytura i renta brutto z pozarolniczego systemu ubezpieczeń społecznych </t>
  </si>
  <si>
    <r>
      <t>1160,10</t>
    </r>
    <r>
      <rPr>
        <vertAlign val="superscript"/>
        <sz val="10"/>
        <rFont val="Arial CE"/>
        <family val="2"/>
        <charset val="238"/>
      </rPr>
      <t>d</t>
    </r>
  </si>
  <si>
    <r>
      <t>1168,89</t>
    </r>
    <r>
      <rPr>
        <vertAlign val="superscript"/>
        <sz val="10"/>
        <rFont val="Arial CE"/>
        <family val="2"/>
        <charset val="238"/>
      </rPr>
      <t>d</t>
    </r>
  </si>
  <si>
    <r>
      <t>1174,21</t>
    </r>
    <r>
      <rPr>
        <vertAlign val="superscript"/>
        <sz val="10"/>
        <rFont val="Arial CE"/>
        <family val="2"/>
        <charset val="238"/>
      </rPr>
      <t>d</t>
    </r>
  </si>
  <si>
    <r>
      <t>1179,75</t>
    </r>
    <r>
      <rPr>
        <vertAlign val="superscript"/>
        <sz val="10"/>
        <rFont val="Arial CE"/>
        <family val="2"/>
        <charset val="238"/>
      </rPr>
      <t>d</t>
    </r>
  </si>
  <si>
    <t xml:space="preserve">Przeciętna miesięczna realna emerytura i renta brutto z pozarolniczego systemu ubezpieczeń społecznych </t>
  </si>
  <si>
    <t>Przeciętna liczba emerytów i rencistów 
pobierających emerytury i renty rolników indywidualnych</t>
  </si>
  <si>
    <t>Przeciętna miesięczna nominalna emerytura i renta 
rolników indywidualnych brutto</t>
  </si>
  <si>
    <r>
      <t>756,55</t>
    </r>
    <r>
      <rPr>
        <vertAlign val="superscript"/>
        <sz val="10"/>
        <rFont val="Arial CE"/>
        <family val="2"/>
        <charset val="238"/>
      </rPr>
      <t>c</t>
    </r>
  </si>
  <si>
    <r>
      <t>757,12</t>
    </r>
    <r>
      <rPr>
        <vertAlign val="superscript"/>
        <sz val="10"/>
        <rFont val="Arial CE"/>
        <family val="2"/>
        <charset val="238"/>
      </rPr>
      <t>c</t>
    </r>
  </si>
  <si>
    <r>
      <t>758,51</t>
    </r>
    <r>
      <rPr>
        <vertAlign val="superscript"/>
        <sz val="10"/>
        <rFont val="Arial CE"/>
        <family val="2"/>
        <charset val="238"/>
      </rPr>
      <t>c</t>
    </r>
  </si>
  <si>
    <r>
      <t>760,31</t>
    </r>
    <r>
      <rPr>
        <vertAlign val="superscript"/>
        <sz val="10"/>
        <rFont val="Arial CE"/>
        <family val="2"/>
        <charset val="238"/>
      </rPr>
      <t>c</t>
    </r>
  </si>
  <si>
    <t>Przeciętna miesięczna realna emerytura i renta rolników indywidualnych brutto</t>
  </si>
  <si>
    <r>
      <t xml:space="preserve">a </t>
    </r>
    <r>
      <rPr>
        <sz val="10"/>
        <rFont val="Arial CE"/>
        <charset val="238"/>
      </rPr>
      <t xml:space="preserve">Dane dotyczą pełnej zbiorowości. </t>
    </r>
  </si>
  <si>
    <r>
      <t xml:space="preserve">b </t>
    </r>
    <r>
      <rPr>
        <sz val="10"/>
        <rFont val="Arial CE"/>
        <charset val="238"/>
      </rPr>
      <t xml:space="preserve">Dane obejmują podmioty gospodarcze o liczbie pracujących powyżej 9 osób. </t>
    </r>
  </si>
  <si>
    <r>
      <t xml:space="preserve">c </t>
    </r>
    <r>
      <rPr>
        <sz val="10"/>
        <rFont val="Arial"/>
        <family val="2"/>
        <charset val="238"/>
      </rPr>
      <t>Łącznie z jednorazową wypłatą dla osób pobierających świadczenie emerytalno-rentowe w kwocie nie wyższej niż kwota najniższej emerytury lub z renty z tytułu Ustawy z dnia 10 września 2004 r. o zmianie ustawy o emeryturach i rentach z FUS oraz o zmianie ustawy o ubezpieczeniu społecznym rolników
(Dz. U. z 2004 r. Nr 236, poz. 2355).</t>
    </r>
  </si>
  <si>
    <t>Data</t>
  </si>
  <si>
    <t>Wykres 1</t>
  </si>
  <si>
    <t>Nr wiersza / Nr. Kolumny</t>
  </si>
  <si>
    <t>Wykres 2</t>
  </si>
  <si>
    <t>Wykres 3</t>
  </si>
  <si>
    <t>Dane - Wykres 1</t>
  </si>
  <si>
    <t>Dane - Wykres 2</t>
  </si>
  <si>
    <t>Dane - Wykres 3</t>
  </si>
  <si>
    <t xml:space="preserve">Polecenie </t>
  </si>
  <si>
    <t>Dane</t>
  </si>
  <si>
    <t>Fitted</t>
  </si>
  <si>
    <t>Duration years</t>
  </si>
  <si>
    <t>Duration months</t>
  </si>
  <si>
    <t>Average Error</t>
  </si>
  <si>
    <t>Date</t>
  </si>
  <si>
    <t>B1</t>
  </si>
  <si>
    <t>B2</t>
  </si>
  <si>
    <t>B3</t>
  </si>
  <si>
    <t>Lambda</t>
  </si>
  <si>
    <t>Resid</t>
  </si>
  <si>
    <t>Dane - krzywa rentowności</t>
  </si>
  <si>
    <t>Parametry modelu</t>
  </si>
  <si>
    <t>Wartości dopasowane Solverem</t>
  </si>
  <si>
    <t>Błedy dopasowania</t>
  </si>
  <si>
    <t>Dopasowane wartości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</si>
  <si>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</si>
  <si>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</si>
  <si>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</si>
  <si>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</si>
  <si>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</si>
  <si>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</si>
  <si>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</si>
  <si>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</si>
  <si>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</si>
  <si>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</si>
  <si>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Aby odwołać się do konkretnej komórki z aktywnego arkusza w języku VBA wpisujemy</t>
  </si>
  <si>
    <t>ActiveSheet.Cells(i,j)</t>
  </si>
  <si>
    <t>Gdzie:</t>
  </si>
  <si>
    <t>ActiveSheet</t>
  </si>
  <si>
    <t>-</t>
  </si>
  <si>
    <t>Słowo klucz wskazujące na aktualnie otwartą kartę</t>
  </si>
  <si>
    <t>i</t>
  </si>
  <si>
    <t>numer wiersza</t>
  </si>
  <si>
    <t>j</t>
  </si>
  <si>
    <t xml:space="preserve">- </t>
  </si>
  <si>
    <t>numer kolumny</t>
  </si>
  <si>
    <t>Polecenie</t>
  </si>
  <si>
    <t>Pamiętacie makro modyfikujące wykres na poprzednich zajęciach. Zautomatyzujemy je tak, aby pracowało od razu na wszystkich wykresach. 
Posłuży nam do tego pętla For Each. Jej składnia jest następująca:</t>
  </si>
  <si>
    <t>For Each obiekt in KolekcjaObiektów
      Komendy
Next</t>
  </si>
  <si>
    <t>obiekt</t>
  </si>
  <si>
    <t>dowolna nazwa</t>
  </si>
  <si>
    <t>kolekcja</t>
  </si>
  <si>
    <t>zbiór obiektów Excela</t>
  </si>
  <si>
    <t>komendy</t>
  </si>
  <si>
    <t>operacje które przeprowadzimy</t>
  </si>
  <si>
    <t>Co jest naszą kolekcją?</t>
  </si>
  <si>
    <t>Wykresy przechowywane są w zbiorze:</t>
  </si>
  <si>
    <t>Jakie operacje wykonamy?</t>
  </si>
  <si>
    <t>1. Zaznacz kolejny wykres</t>
  </si>
  <si>
    <t xml:space="preserve">2. Wykonaj na nim makro nagrane tydzień temu. </t>
  </si>
  <si>
    <t>Aby odwołać się do konkretnego makra używamy polecenia:</t>
  </si>
  <si>
    <t>Call NazwaMakra</t>
  </si>
  <si>
    <t>Pamiętasz makro dodatku Solver?</t>
  </si>
  <si>
    <t xml:space="preserve">Użyjemy pętli numerycznej, aby wykonać obliczenia dla kolejnych wierszy </t>
  </si>
  <si>
    <t>Początek pętli</t>
  </si>
  <si>
    <t>Wiersz 24</t>
  </si>
  <si>
    <t>Koniec</t>
  </si>
  <si>
    <t>Wiersz 37</t>
  </si>
  <si>
    <t>Napiszmy makro, które wypisze wszystkie nazwy arkuszy w tym zeszycie.</t>
  </si>
  <si>
    <t>Wykorzystamy pętle For Each</t>
  </si>
  <si>
    <t>ThisWorkbook</t>
  </si>
  <si>
    <t>Opisuje zeszyt w którym zapisany jest kod wykonywanego makra</t>
  </si>
  <si>
    <t>Workbooks("Nazwa Arkusza")</t>
  </si>
  <si>
    <t>Odwołanie się po imieniu do konkretnego zeszytu</t>
  </si>
  <si>
    <t>ActiveWorkbook</t>
  </si>
  <si>
    <t>Aktualnie otwarty zeszyt (niepolecane). W przypadku pracy na kilku zeszytach łatwo nadpisać coś w złym miejscu</t>
  </si>
  <si>
    <t>1. Aby odwołać się od zeszytu możemy użyć jednej z 3 metod:</t>
  </si>
  <si>
    <r>
      <t xml:space="preserve">2. Kolekcja wybierana jest przez słowo </t>
    </r>
    <r>
      <rPr>
        <sz val="11"/>
        <color theme="4"/>
        <rFont val="Calibri"/>
        <family val="2"/>
        <scheme val="minor"/>
      </rPr>
      <t>Sheets</t>
    </r>
  </si>
  <si>
    <r>
      <t xml:space="preserve">3. Aby wyświetlić nazwę arkusza używamy metody </t>
    </r>
    <r>
      <rPr>
        <sz val="11"/>
        <color theme="4"/>
        <rFont val="Calibri"/>
        <family val="2"/>
        <scheme val="minor"/>
      </rPr>
      <t>Name</t>
    </r>
  </si>
  <si>
    <t>obiekt.Name</t>
  </si>
  <si>
    <t>Miejsce do wypisania nazw arkuszy</t>
  </si>
  <si>
    <t>For licznik = 1  To koniec [Step krok]
    Operacje
Next[licznik</t>
  </si>
  <si>
    <t xml:space="preserve">Zadanie 1 </t>
  </si>
  <si>
    <t>1. Numer wiersza</t>
  </si>
  <si>
    <t>2. Numer podniesiony do kwadratu</t>
  </si>
  <si>
    <t>3. Resztę z dzielenia numeru przez 5</t>
  </si>
  <si>
    <t>Polecenie:</t>
  </si>
  <si>
    <t>Składnia VBA</t>
  </si>
  <si>
    <t>potęgowanie</t>
  </si>
  <si>
    <t>wynik = liczba ^ wykladnik</t>
  </si>
  <si>
    <t>reszta z dzielenia</t>
  </si>
  <si>
    <t>wynik = liczba Mod  dzielna</t>
  </si>
  <si>
    <t>Miejsce na obliczenia</t>
  </si>
  <si>
    <t>Zadanie 2</t>
  </si>
  <si>
    <r>
      <t xml:space="preserve">Na ostatnich zajęciach nagrywaliśmy prostę makra. Teraz będziemy uczyli się wykonywać je w pętli dla automatyzacji obliczeń. 
Podstawą naszego działania jest pętla </t>
    </r>
    <r>
      <rPr>
        <sz val="11"/>
        <color theme="4"/>
        <rFont val="Calibri"/>
        <family val="2"/>
        <scheme val="minor"/>
      </rPr>
      <t>For.</t>
    </r>
    <r>
      <rPr>
        <sz val="11"/>
        <color theme="1"/>
        <rFont val="Calibri"/>
        <family val="2"/>
        <scheme val="minor"/>
      </rPr>
      <t xml:space="preserve"> Jej składnia jest następująca:</t>
    </r>
  </si>
  <si>
    <t>Przypomnienie</t>
  </si>
  <si>
    <t>W poprzednich zadaniach zmienialiśmy wartość komórki. Teraz zmienimy formułę.</t>
  </si>
  <si>
    <t>Numer</t>
  </si>
  <si>
    <t>Potęga</t>
  </si>
  <si>
    <t>Reszta z dzielenia</t>
  </si>
  <si>
    <t>Napiszemy makro, które wypisze w wierszach 27 do 100</t>
  </si>
  <si>
    <t>Aby operować na formułach dopisujemy do słowa klucz formula:</t>
  </si>
  <si>
    <t>ActiveSheet.Cells(i,j).Formula =</t>
  </si>
  <si>
    <t>Uwaga:</t>
  </si>
  <si>
    <t xml:space="preserve">W języku VBA używamy anglojęzycznych nazw formuł. Poza nim najlepiej też ich używać. </t>
  </si>
  <si>
    <t>1. Sinus z policzonej potęgi. Funkcja:</t>
  </si>
  <si>
    <t>SIN</t>
  </si>
  <si>
    <t>COS</t>
  </si>
  <si>
    <t>1. Cosinus z wartości policzonej potęgi. Funkcja:</t>
  </si>
  <si>
    <t>Będziemy chcieli połączyć tekst tak aby wpisać numer do kolumny. Przykład:</t>
  </si>
  <si>
    <t>Składnia:</t>
  </si>
  <si>
    <t>=SIN(C" &amp; i &amp; ")"</t>
  </si>
  <si>
    <t>Sinus</t>
  </si>
  <si>
    <t>Cosinus</t>
  </si>
  <si>
    <t>Petla_For</t>
  </si>
  <si>
    <t>Wykresy</t>
  </si>
  <si>
    <t>Nazwy</t>
  </si>
  <si>
    <t>Solver</t>
  </si>
  <si>
    <t>Dane_wykresy</t>
  </si>
  <si>
    <t>ActiveSheet.ChartObjects</t>
  </si>
  <si>
    <t>obiekt.Activate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</si>
</sst>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z_ł_-;\-* #,##0.00\ _z_ł_-;_-* &quot;-&quot;??\ _z_ł_-;_-@_-"/>
    <numFmt numFmtId="165" formatCode="0.0"/>
    <numFmt numFmtId="166" formatCode="#,##0.0"/>
  </numFmts>
  <fonts count="29">
    <font>
      <sz val="11"/>
      <color theme="1"/>
      <name val="Calibri"/>
      <family val="2"/>
      <scheme val="minor"/>
    </font>
    <font>
      <sz val="10"/>
      <name val="Arial CE"/>
      <charset val="238"/>
    </font>
    <font>
      <b/>
      <sz val="12"/>
      <name val="Arial"/>
      <family val="2"/>
      <charset val="238"/>
    </font>
    <font>
      <b/>
      <sz val="10"/>
      <name val="Arial CE"/>
      <charset val="238"/>
    </font>
    <font>
      <sz val="12"/>
      <name val="Arial CE"/>
      <charset val="238"/>
    </font>
    <font>
      <b/>
      <sz val="12"/>
      <name val="Arial CE"/>
      <charset val="238"/>
    </font>
    <font>
      <sz val="10"/>
      <name val="Arial CE"/>
      <family val="2"/>
      <charset val="238"/>
    </font>
    <font>
      <sz val="10"/>
      <color indexed="8"/>
      <name val="Arial CE"/>
      <family val="2"/>
      <charset val="238"/>
    </font>
    <font>
      <sz val="10"/>
      <name val="Arial"/>
      <family val="2"/>
      <charset val="238"/>
    </font>
    <font>
      <u/>
      <sz val="10"/>
      <color indexed="12"/>
      <name val="Arial CE"/>
      <charset val="238"/>
    </font>
    <font>
      <vertAlign val="subscript"/>
      <sz val="10"/>
      <name val="Arial CE"/>
      <charset val="238"/>
    </font>
    <font>
      <b/>
      <sz val="10"/>
      <name val="Arial CE"/>
      <family val="2"/>
      <charset val="238"/>
    </font>
    <font>
      <vertAlign val="superscript"/>
      <sz val="10"/>
      <name val="Arial CE"/>
      <charset val="238"/>
    </font>
    <font>
      <vertAlign val="superscript"/>
      <sz val="10"/>
      <name val="Arial CE"/>
      <family val="2"/>
      <charset val="238"/>
    </font>
    <font>
      <sz val="10"/>
      <name val="Arial"/>
      <family val="2"/>
    </font>
    <font>
      <vertAlign val="superscript"/>
      <sz val="10"/>
      <name val="Arial"/>
      <family val="2"/>
      <charset val="238"/>
    </font>
    <font>
      <sz val="10"/>
      <color theme="1"/>
      <name val="Arial CE"/>
      <charset val="238"/>
    </font>
    <font>
      <sz val="10"/>
      <color rgb="FFFF0000"/>
      <name val="Arial CE"/>
      <charset val="238"/>
    </font>
    <font>
      <sz val="10"/>
      <name val="Times New Roman CE"/>
      <charset val="238"/>
    </font>
    <font>
      <sz val="12"/>
      <name val="Arial CE"/>
    </font>
    <font>
      <u/>
      <sz val="9"/>
      <color indexed="12"/>
      <name val="Arial CE"/>
    </font>
    <font>
      <sz val="11"/>
      <color theme="1"/>
      <name val="Czcionka tekstu podstawowego"/>
      <family val="2"/>
      <charset val="238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Times New Roman CE"/>
      <charset val="238"/>
    </font>
    <font>
      <u/>
      <sz val="11"/>
      <color theme="1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E1F3FF"/>
        <bgColor indexed="64"/>
      </patternFill>
    </fill>
    <fill>
      <patternFill patternType="solid">
        <fgColor theme="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thin">
        <color indexed="8"/>
      </left>
      <right style="thin">
        <color indexed="8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8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5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8" fillId="0" borderId="0"/>
    <xf numFmtId="0" fontId="18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21" fillId="0" borderId="0"/>
    <xf numFmtId="0" fontId="23" fillId="0" borderId="0"/>
    <xf numFmtId="0" fontId="24" fillId="0" borderId="0"/>
    <xf numFmtId="0" fontId="25" fillId="0" borderId="0" applyNumberFormat="0" applyFill="0" applyBorder="0" applyAlignment="0" applyProtection="0"/>
  </cellStyleXfs>
  <cellXfs count="258">
    <xf numFmtId="0" fontId="0" fillId="0" borderId="0" xfId="0"/>
    <xf numFmtId="0" fontId="1" fillId="0" borderId="0" xfId="1"/>
    <xf numFmtId="165" fontId="1" fillId="0" borderId="11" xfId="1" applyNumberFormat="1" applyFont="1" applyBorder="1" applyAlignment="1">
      <alignment horizontal="right" wrapText="1"/>
    </xf>
    <xf numFmtId="165" fontId="6" fillId="0" borderId="11" xfId="1" applyNumberFormat="1" applyFont="1" applyBorder="1" applyAlignment="1">
      <alignment horizontal="right" wrapText="1"/>
    </xf>
    <xf numFmtId="165" fontId="11" fillId="0" borderId="11" xfId="1" applyNumberFormat="1" applyFont="1" applyBorder="1" applyAlignment="1">
      <alignment horizontal="right" wrapText="1"/>
    </xf>
    <xf numFmtId="165" fontId="6" fillId="0" borderId="11" xfId="1" applyNumberFormat="1" applyFont="1" applyBorder="1" applyAlignment="1">
      <alignment horizontal="right"/>
    </xf>
    <xf numFmtId="165" fontId="1" fillId="0" borderId="11" xfId="1" applyNumberFormat="1" applyFont="1" applyBorder="1" applyAlignment="1">
      <alignment horizontal="right"/>
    </xf>
    <xf numFmtId="165" fontId="1" fillId="0" borderId="13" xfId="1" applyNumberFormat="1" applyFont="1" applyBorder="1" applyAlignment="1">
      <alignment horizontal="right"/>
    </xf>
    <xf numFmtId="165" fontId="14" fillId="0" borderId="11" xfId="1" applyNumberFormat="1" applyFont="1" applyBorder="1" applyAlignment="1">
      <alignment horizontal="right"/>
    </xf>
    <xf numFmtId="165" fontId="14" fillId="0" borderId="13" xfId="1" applyNumberFormat="1" applyFont="1" applyBorder="1" applyAlignment="1">
      <alignment horizontal="right"/>
    </xf>
    <xf numFmtId="165" fontId="11" fillId="0" borderId="11" xfId="1" applyNumberFormat="1" applyFont="1" applyBorder="1" applyAlignment="1">
      <alignment horizontal="right"/>
    </xf>
    <xf numFmtId="165" fontId="6" fillId="2" borderId="11" xfId="1" applyNumberFormat="1" applyFont="1" applyFill="1" applyBorder="1" applyAlignment="1">
      <alignment horizontal="right"/>
    </xf>
    <xf numFmtId="165" fontId="6" fillId="0" borderId="11" xfId="1" applyNumberFormat="1" applyFont="1" applyFill="1" applyBorder="1" applyAlignment="1">
      <alignment horizontal="right"/>
    </xf>
    <xf numFmtId="165" fontId="6" fillId="2" borderId="15" xfId="1" applyNumberFormat="1" applyFont="1" applyFill="1" applyBorder="1" applyAlignment="1">
      <alignment horizontal="right"/>
    </xf>
    <xf numFmtId="165" fontId="14" fillId="2" borderId="11" xfId="1" applyNumberFormat="1" applyFont="1" applyFill="1" applyBorder="1" applyAlignment="1">
      <alignment horizontal="right" wrapText="1"/>
    </xf>
    <xf numFmtId="165" fontId="1" fillId="2" borderId="11" xfId="1" applyNumberFormat="1" applyFont="1" applyFill="1" applyBorder="1" applyAlignment="1">
      <alignment horizontal="right" wrapText="1"/>
    </xf>
    <xf numFmtId="165" fontId="6" fillId="2" borderId="11" xfId="1" applyNumberFormat="1" applyFont="1" applyFill="1" applyBorder="1" applyAlignment="1">
      <alignment horizontal="right" wrapText="1"/>
    </xf>
    <xf numFmtId="165" fontId="14" fillId="0" borderId="12" xfId="1" applyNumberFormat="1" applyFont="1" applyBorder="1" applyAlignment="1">
      <alignment horizontal="right" wrapText="1"/>
    </xf>
    <xf numFmtId="165" fontId="8" fillId="2" borderId="11" xfId="1" applyNumberFormat="1" applyFont="1" applyFill="1" applyBorder="1" applyAlignment="1">
      <alignment horizontal="right" wrapText="1"/>
    </xf>
    <xf numFmtId="165" fontId="14" fillId="0" borderId="15" xfId="1" applyNumberFormat="1" applyFont="1" applyBorder="1" applyAlignment="1">
      <alignment horizontal="right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1" fillId="0" borderId="0" xfId="1" applyFont="1" applyAlignment="1">
      <alignment vertical="center"/>
    </xf>
    <xf numFmtId="0" fontId="1" fillId="0" borderId="14" xfId="1" applyFont="1" applyBorder="1" applyAlignment="1">
      <alignment horizontal="right"/>
    </xf>
    <xf numFmtId="0" fontId="1" fillId="0" borderId="11" xfId="1" applyFont="1" applyBorder="1" applyAlignment="1">
      <alignment horizontal="right"/>
    </xf>
    <xf numFmtId="165" fontId="11" fillId="0" borderId="25" xfId="1" applyNumberFormat="1" applyFont="1" applyBorder="1" applyAlignment="1">
      <alignment horizontal="right"/>
    </xf>
    <xf numFmtId="165" fontId="8" fillId="2" borderId="11" xfId="1" applyNumberFormat="1" applyFont="1" applyFill="1" applyBorder="1" applyAlignment="1">
      <alignment horizontal="right"/>
    </xf>
    <xf numFmtId="2" fontId="11" fillId="0" borderId="25" xfId="1" applyNumberFormat="1" applyFont="1" applyBorder="1" applyAlignment="1">
      <alignment horizontal="right"/>
    </xf>
    <xf numFmtId="2" fontId="11" fillId="0" borderId="11" xfId="1" applyNumberFormat="1" applyFont="1" applyBorder="1" applyAlignment="1">
      <alignment horizontal="right"/>
    </xf>
    <xf numFmtId="165" fontId="11" fillId="0" borderId="25" xfId="1" applyNumberFormat="1" applyFont="1" applyBorder="1" applyAlignment="1">
      <alignment horizontal="right" wrapText="1"/>
    </xf>
    <xf numFmtId="0" fontId="1" fillId="0" borderId="24" xfId="1" applyFont="1" applyBorder="1" applyAlignment="1">
      <alignment horizontal="right"/>
    </xf>
    <xf numFmtId="165" fontId="8" fillId="2" borderId="26" xfId="1" applyNumberFormat="1" applyFont="1" applyFill="1" applyBorder="1" applyAlignment="1">
      <alignment horizontal="right" wrapText="1"/>
    </xf>
    <xf numFmtId="165" fontId="11" fillId="0" borderId="27" xfId="1" applyNumberFormat="1" applyFont="1" applyBorder="1" applyAlignment="1">
      <alignment horizontal="right" wrapText="1"/>
    </xf>
    <xf numFmtId="165" fontId="8" fillId="2" borderId="22" xfId="1" applyNumberFormat="1" applyFont="1" applyFill="1" applyBorder="1" applyAlignment="1">
      <alignment horizontal="right" wrapText="1"/>
    </xf>
    <xf numFmtId="165" fontId="8" fillId="2" borderId="28" xfId="1" applyNumberFormat="1" applyFont="1" applyFill="1" applyBorder="1" applyAlignment="1">
      <alignment horizontal="right" wrapText="1"/>
    </xf>
    <xf numFmtId="165" fontId="6" fillId="2" borderId="22" xfId="1" applyNumberFormat="1" applyFont="1" applyFill="1" applyBorder="1" applyAlignment="1">
      <alignment horizontal="right"/>
    </xf>
    <xf numFmtId="0" fontId="1" fillId="0" borderId="22" xfId="1" applyFont="1" applyBorder="1" applyAlignment="1">
      <alignment horizontal="right"/>
    </xf>
    <xf numFmtId="0" fontId="14" fillId="0" borderId="11" xfId="1" applyFont="1" applyBorder="1" applyAlignment="1">
      <alignment horizontal="right"/>
    </xf>
    <xf numFmtId="0" fontId="14" fillId="0" borderId="12" xfId="1" applyFont="1" applyBorder="1" applyAlignment="1">
      <alignment horizontal="right"/>
    </xf>
    <xf numFmtId="0" fontId="6" fillId="0" borderId="11" xfId="1" applyFont="1" applyBorder="1" applyAlignment="1">
      <alignment horizontal="right"/>
    </xf>
    <xf numFmtId="165" fontId="14" fillId="0" borderId="21" xfId="1" applyNumberFormat="1" applyFont="1" applyBorder="1" applyAlignment="1">
      <alignment horizontal="right" wrapText="1"/>
    </xf>
    <xf numFmtId="165" fontId="14" fillId="0" borderId="13" xfId="1" applyNumberFormat="1" applyFont="1" applyBorder="1" applyAlignment="1">
      <alignment horizontal="right" wrapText="1"/>
    </xf>
    <xf numFmtId="2" fontId="14" fillId="0" borderId="13" xfId="1" applyNumberFormat="1" applyFont="1" applyBorder="1" applyAlignment="1">
      <alignment horizontal="right" wrapText="1"/>
    </xf>
    <xf numFmtId="0" fontId="14" fillId="0" borderId="13" xfId="1" applyFont="1" applyBorder="1" applyAlignment="1">
      <alignment horizontal="right"/>
    </xf>
    <xf numFmtId="0" fontId="13" fillId="0" borderId="0" xfId="1" applyFont="1" applyAlignment="1">
      <alignment horizontal="left" vertical="center" wrapText="1"/>
    </xf>
    <xf numFmtId="0" fontId="1" fillId="0" borderId="0" xfId="1" applyFont="1" applyBorder="1" applyAlignment="1">
      <alignment vertical="center"/>
    </xf>
    <xf numFmtId="0" fontId="12" fillId="0" borderId="0" xfId="1" applyFont="1" applyAlignment="1">
      <alignment horizontal="left" vertical="center" wrapText="1"/>
    </xf>
    <xf numFmtId="0" fontId="15" fillId="0" borderId="0" xfId="1" applyFont="1" applyAlignment="1">
      <alignment horizontal="left" wrapText="1"/>
    </xf>
    <xf numFmtId="165" fontId="1" fillId="0" borderId="14" xfId="1" applyNumberFormat="1" applyFont="1" applyBorder="1" applyAlignment="1">
      <alignment horizontal="right"/>
    </xf>
    <xf numFmtId="165" fontId="1" fillId="0" borderId="22" xfId="1" applyNumberFormat="1" applyFont="1" applyBorder="1" applyAlignment="1">
      <alignment horizontal="right"/>
    </xf>
    <xf numFmtId="165" fontId="14" fillId="0" borderId="17" xfId="1" applyNumberFormat="1" applyFont="1" applyBorder="1" applyAlignment="1">
      <alignment horizontal="right"/>
    </xf>
    <xf numFmtId="165" fontId="1" fillId="0" borderId="16" xfId="1" applyNumberFormat="1" applyFont="1" applyBorder="1" applyAlignment="1">
      <alignment horizontal="right"/>
    </xf>
    <xf numFmtId="165" fontId="1" fillId="0" borderId="15" xfId="1" applyNumberFormat="1" applyFont="1" applyBorder="1" applyAlignment="1">
      <alignment horizontal="right"/>
    </xf>
    <xf numFmtId="0" fontId="1" fillId="0" borderId="11" xfId="1" applyBorder="1" applyAlignment="1">
      <alignment horizontal="right"/>
    </xf>
    <xf numFmtId="165" fontId="1" fillId="0" borderId="34" xfId="1" applyNumberFormat="1" applyFont="1" applyBorder="1" applyAlignment="1">
      <alignment horizontal="right"/>
    </xf>
    <xf numFmtId="0" fontId="1" fillId="0" borderId="15" xfId="1" applyFont="1" applyBorder="1" applyAlignment="1">
      <alignment horizontal="right"/>
    </xf>
    <xf numFmtId="165" fontId="1" fillId="0" borderId="24" xfId="1" applyNumberFormat="1" applyFont="1" applyBorder="1" applyAlignment="1">
      <alignment horizontal="right"/>
    </xf>
    <xf numFmtId="0" fontId="1" fillId="0" borderId="32" xfId="1" applyFont="1" applyBorder="1" applyAlignment="1">
      <alignment horizontal="right"/>
    </xf>
    <xf numFmtId="165" fontId="1" fillId="0" borderId="35" xfId="1" applyNumberFormat="1" applyFont="1" applyBorder="1" applyAlignment="1">
      <alignment horizontal="right"/>
    </xf>
    <xf numFmtId="165" fontId="14" fillId="0" borderId="16" xfId="1" applyNumberFormat="1" applyFont="1" applyBorder="1" applyAlignment="1">
      <alignment horizontal="right"/>
    </xf>
    <xf numFmtId="165" fontId="1" fillId="0" borderId="11" xfId="1" applyNumberFormat="1" applyFont="1" applyFill="1" applyBorder="1" applyAlignment="1">
      <alignment horizontal="right"/>
    </xf>
    <xf numFmtId="165" fontId="1" fillId="0" borderId="16" xfId="1" applyNumberFormat="1" applyFont="1" applyFill="1" applyBorder="1" applyAlignment="1">
      <alignment horizontal="right"/>
    </xf>
    <xf numFmtId="165" fontId="1" fillId="0" borderId="12" xfId="1" applyNumberFormat="1" applyFont="1" applyBorder="1" applyAlignment="1">
      <alignment horizontal="right" wrapText="1"/>
    </xf>
    <xf numFmtId="0" fontId="1" fillId="0" borderId="0" xfId="1" applyNumberFormat="1" applyFont="1" applyAlignment="1">
      <alignment horizontal="right"/>
    </xf>
    <xf numFmtId="14" fontId="1" fillId="0" borderId="0" xfId="1" applyNumberFormat="1" applyAlignment="1"/>
    <xf numFmtId="0" fontId="1" fillId="0" borderId="14" xfId="1" applyBorder="1" applyAlignment="1">
      <alignment horizontal="right"/>
    </xf>
    <xf numFmtId="165" fontId="14" fillId="0" borderId="0" xfId="1" applyNumberFormat="1" applyFont="1" applyBorder="1" applyAlignment="1">
      <alignment horizontal="right"/>
    </xf>
    <xf numFmtId="0" fontId="1" fillId="0" borderId="0" xfId="1" applyFont="1" applyBorder="1" applyAlignment="1">
      <alignment horizontal="right"/>
    </xf>
    <xf numFmtId="165" fontId="1" fillId="0" borderId="37" xfId="1" applyNumberFormat="1" applyFont="1" applyBorder="1" applyAlignment="1">
      <alignment horizontal="right"/>
    </xf>
    <xf numFmtId="165" fontId="1" fillId="0" borderId="36" xfId="1" applyNumberFormat="1" applyFont="1" applyBorder="1" applyAlignment="1">
      <alignment horizontal="right"/>
    </xf>
    <xf numFmtId="0" fontId="1" fillId="0" borderId="36" xfId="1" applyFont="1" applyBorder="1" applyAlignment="1">
      <alignment horizontal="right"/>
    </xf>
    <xf numFmtId="0" fontId="1" fillId="0" borderId="16" xfId="1" applyFont="1" applyBorder="1" applyAlignment="1">
      <alignment horizontal="right"/>
    </xf>
    <xf numFmtId="165" fontId="6" fillId="2" borderId="30" xfId="1" applyNumberFormat="1" applyFont="1" applyFill="1" applyBorder="1" applyAlignment="1">
      <alignment horizontal="right"/>
    </xf>
    <xf numFmtId="0" fontId="14" fillId="0" borderId="16" xfId="1" applyFont="1" applyBorder="1" applyAlignment="1">
      <alignment horizontal="right"/>
    </xf>
    <xf numFmtId="165" fontId="14" fillId="0" borderId="18" xfId="1" applyNumberFormat="1" applyFont="1" applyBorder="1" applyAlignment="1">
      <alignment horizontal="right"/>
    </xf>
    <xf numFmtId="0" fontId="4" fillId="0" borderId="0" xfId="1" applyFont="1" applyFill="1" applyAlignment="1">
      <alignment vertical="center"/>
    </xf>
    <xf numFmtId="0" fontId="1" fillId="0" borderId="0" xfId="1" applyFont="1" applyFill="1" applyBorder="1" applyAlignment="1">
      <alignment vertical="center"/>
    </xf>
    <xf numFmtId="165" fontId="1" fillId="2" borderId="11" xfId="1" applyNumberFormat="1" applyFont="1" applyFill="1" applyBorder="1" applyAlignment="1">
      <alignment horizontal="right"/>
    </xf>
    <xf numFmtId="2" fontId="1" fillId="0" borderId="11" xfId="1" applyNumberFormat="1" applyFont="1" applyBorder="1" applyAlignment="1">
      <alignment horizontal="right"/>
    </xf>
    <xf numFmtId="165" fontId="16" fillId="0" borderId="11" xfId="1" applyNumberFormat="1" applyFont="1" applyBorder="1" applyAlignment="1">
      <alignment horizontal="right"/>
    </xf>
    <xf numFmtId="4" fontId="1" fillId="0" borderId="14" xfId="1" applyNumberFormat="1" applyFont="1" applyBorder="1" applyAlignment="1">
      <alignment horizontal="right"/>
    </xf>
    <xf numFmtId="4" fontId="1" fillId="0" borderId="12" xfId="1" applyNumberFormat="1" applyFont="1" applyBorder="1" applyAlignment="1">
      <alignment horizontal="right" wrapText="1"/>
    </xf>
    <xf numFmtId="4" fontId="1" fillId="0" borderId="11" xfId="1" applyNumberFormat="1" applyFont="1" applyBorder="1" applyAlignment="1">
      <alignment horizontal="right" wrapText="1"/>
    </xf>
    <xf numFmtId="4" fontId="8" fillId="2" borderId="11" xfId="1" applyNumberFormat="1" applyFont="1" applyFill="1" applyBorder="1" applyAlignment="1">
      <alignment horizontal="right" wrapText="1"/>
    </xf>
    <xf numFmtId="4" fontId="6" fillId="2" borderId="11" xfId="1" applyNumberFormat="1" applyFont="1" applyFill="1" applyBorder="1" applyAlignment="1">
      <alignment horizontal="right"/>
    </xf>
    <xf numFmtId="4" fontId="1" fillId="0" borderId="11" xfId="1" applyNumberFormat="1" applyFont="1" applyBorder="1" applyAlignment="1">
      <alignment horizontal="right"/>
    </xf>
    <xf numFmtId="4" fontId="1" fillId="0" borderId="14" xfId="1" applyNumberFormat="1" applyBorder="1" applyAlignment="1">
      <alignment horizontal="right"/>
    </xf>
    <xf numFmtId="4" fontId="1" fillId="0" borderId="11" xfId="1" applyNumberFormat="1" applyBorder="1" applyAlignment="1">
      <alignment horizontal="right"/>
    </xf>
    <xf numFmtId="4" fontId="1" fillId="0" borderId="15" xfId="1" applyNumberFormat="1" applyFont="1" applyBorder="1" applyAlignment="1">
      <alignment horizontal="right"/>
    </xf>
    <xf numFmtId="4" fontId="6" fillId="2" borderId="15" xfId="1" applyNumberFormat="1" applyFont="1" applyFill="1" applyBorder="1" applyAlignment="1">
      <alignment horizontal="right"/>
    </xf>
    <xf numFmtId="4" fontId="1" fillId="0" borderId="36" xfId="1" applyNumberFormat="1" applyFont="1" applyBorder="1" applyAlignment="1">
      <alignment horizontal="right"/>
    </xf>
    <xf numFmtId="4" fontId="1" fillId="0" borderId="16" xfId="1" applyNumberFormat="1" applyFont="1" applyBorder="1" applyAlignment="1">
      <alignment horizontal="right"/>
    </xf>
    <xf numFmtId="4" fontId="1" fillId="2" borderId="11" xfId="1" applyNumberFormat="1" applyFont="1" applyFill="1" applyBorder="1" applyAlignment="1">
      <alignment horizontal="right"/>
    </xf>
    <xf numFmtId="4" fontId="8" fillId="2" borderId="11" xfId="1" applyNumberFormat="1" applyFont="1" applyFill="1" applyBorder="1" applyAlignment="1">
      <alignment horizontal="right"/>
    </xf>
    <xf numFmtId="4" fontId="6" fillId="2" borderId="40" xfId="1" applyNumberFormat="1" applyFont="1" applyFill="1" applyBorder="1" applyAlignment="1">
      <alignment horizontal="right"/>
    </xf>
    <xf numFmtId="4" fontId="7" fillId="2" borderId="11" xfId="1" applyNumberFormat="1" applyFont="1" applyFill="1" applyBorder="1" applyAlignment="1">
      <alignment horizontal="right"/>
    </xf>
    <xf numFmtId="4" fontId="7" fillId="2" borderId="15" xfId="1" applyNumberFormat="1" applyFont="1" applyFill="1" applyBorder="1" applyAlignment="1">
      <alignment horizontal="right"/>
    </xf>
    <xf numFmtId="4" fontId="8" fillId="2" borderId="15" xfId="1" applyNumberFormat="1" applyFont="1" applyFill="1" applyBorder="1" applyAlignment="1">
      <alignment horizontal="right"/>
    </xf>
    <xf numFmtId="4" fontId="1" fillId="0" borderId="36" xfId="1" applyNumberFormat="1" applyBorder="1" applyAlignment="1">
      <alignment horizontal="right"/>
    </xf>
    <xf numFmtId="166" fontId="14" fillId="0" borderId="12" xfId="1" applyNumberFormat="1" applyFont="1" applyBorder="1" applyAlignment="1">
      <alignment horizontal="right" wrapText="1"/>
    </xf>
    <xf numFmtId="166" fontId="6" fillId="0" borderId="11" xfId="1" applyNumberFormat="1" applyFont="1" applyBorder="1" applyAlignment="1">
      <alignment horizontal="right" wrapText="1"/>
    </xf>
    <xf numFmtId="166" fontId="14" fillId="0" borderId="11" xfId="1" applyNumberFormat="1" applyFont="1" applyBorder="1" applyAlignment="1">
      <alignment horizontal="right"/>
    </xf>
    <xf numFmtId="166" fontId="14" fillId="0" borderId="15" xfId="1" applyNumberFormat="1" applyFont="1" applyBorder="1" applyAlignment="1">
      <alignment horizontal="right"/>
    </xf>
    <xf numFmtId="166" fontId="14" fillId="0" borderId="16" xfId="1" applyNumberFormat="1" applyFont="1" applyBorder="1" applyAlignment="1">
      <alignment horizontal="right"/>
    </xf>
    <xf numFmtId="4" fontId="14" fillId="0" borderId="12" xfId="1" applyNumberFormat="1" applyFont="1" applyBorder="1" applyAlignment="1">
      <alignment horizontal="right" wrapText="1"/>
    </xf>
    <xf numFmtId="4" fontId="6" fillId="0" borderId="11" xfId="1" applyNumberFormat="1" applyFont="1" applyBorder="1" applyAlignment="1">
      <alignment horizontal="right" wrapText="1"/>
    </xf>
    <xf numFmtId="4" fontId="14" fillId="0" borderId="11" xfId="1" applyNumberFormat="1" applyFont="1" applyBorder="1" applyAlignment="1">
      <alignment horizontal="right"/>
    </xf>
    <xf numFmtId="4" fontId="14" fillId="0" borderId="15" xfId="1" applyNumberFormat="1" applyFont="1" applyBorder="1" applyAlignment="1">
      <alignment horizontal="right"/>
    </xf>
    <xf numFmtId="4" fontId="14" fillId="0" borderId="16" xfId="1" applyNumberFormat="1" applyFont="1" applyBorder="1" applyAlignment="1">
      <alignment horizontal="right"/>
    </xf>
    <xf numFmtId="4" fontId="14" fillId="0" borderId="11" xfId="2" applyNumberFormat="1" applyFont="1" applyBorder="1" applyAlignment="1">
      <alignment horizontal="right"/>
    </xf>
    <xf numFmtId="4" fontId="14" fillId="0" borderId="16" xfId="2" applyNumberFormat="1" applyFont="1" applyBorder="1" applyAlignment="1">
      <alignment horizontal="right"/>
    </xf>
    <xf numFmtId="4" fontId="14" fillId="0" borderId="16" xfId="3" applyNumberFormat="1" applyFont="1" applyBorder="1" applyAlignment="1">
      <alignment horizontal="right"/>
    </xf>
    <xf numFmtId="166" fontId="1" fillId="0" borderId="11" xfId="1" applyNumberFormat="1" applyFont="1" applyBorder="1" applyAlignment="1"/>
    <xf numFmtId="0" fontId="15" fillId="0" borderId="0" xfId="1" applyFont="1" applyAlignment="1">
      <alignment wrapText="1"/>
    </xf>
    <xf numFmtId="2" fontId="1" fillId="0" borderId="16" xfId="1" applyNumberFormat="1" applyFont="1" applyBorder="1" applyAlignment="1">
      <alignment horizontal="right"/>
    </xf>
    <xf numFmtId="165" fontId="1" fillId="0" borderId="11" xfId="1" applyNumberFormat="1" applyFont="1" applyBorder="1" applyAlignment="1"/>
    <xf numFmtId="165" fontId="1" fillId="0" borderId="29" xfId="1" applyNumberFormat="1" applyFont="1" applyBorder="1" applyAlignment="1"/>
    <xf numFmtId="165" fontId="1" fillId="0" borderId="11" xfId="1" applyNumberFormat="1" applyFont="1" applyBorder="1" applyAlignment="1">
      <alignment vertical="center"/>
    </xf>
    <xf numFmtId="4" fontId="16" fillId="0" borderId="11" xfId="1" applyNumberFormat="1" applyFont="1" applyBorder="1" applyAlignment="1">
      <alignment horizontal="right"/>
    </xf>
    <xf numFmtId="2" fontId="16" fillId="0" borderId="11" xfId="1" applyNumberFormat="1" applyFont="1" applyBorder="1" applyAlignment="1">
      <alignment horizontal="right"/>
    </xf>
    <xf numFmtId="0" fontId="16" fillId="0" borderId="11" xfId="1" applyFont="1" applyBorder="1" applyAlignment="1">
      <alignment horizontal="right"/>
    </xf>
    <xf numFmtId="0" fontId="6" fillId="3" borderId="7" xfId="1" applyNumberFormat="1" applyFont="1" applyFill="1" applyBorder="1" applyAlignment="1">
      <alignment horizontal="left" wrapText="1" indent="2"/>
    </xf>
    <xf numFmtId="0" fontId="3" fillId="3" borderId="1" xfId="1" applyFont="1" applyFill="1" applyBorder="1" applyAlignment="1"/>
    <xf numFmtId="0" fontId="1" fillId="3" borderId="2" xfId="1" applyFont="1" applyFill="1" applyBorder="1" applyAlignment="1">
      <alignment horizontal="center"/>
    </xf>
    <xf numFmtId="0" fontId="1" fillId="3" borderId="5" xfId="1" applyFill="1" applyBorder="1" applyAlignment="1">
      <alignment wrapText="1"/>
    </xf>
    <xf numFmtId="0" fontId="1" fillId="3" borderId="6" xfId="1" applyFont="1" applyFill="1" applyBorder="1" applyAlignment="1">
      <alignment horizontal="center"/>
    </xf>
    <xf numFmtId="0" fontId="1" fillId="3" borderId="7" xfId="1" applyFont="1" applyFill="1" applyBorder="1" applyAlignment="1"/>
    <xf numFmtId="0" fontId="1" fillId="3" borderId="8" xfId="1" applyFont="1" applyFill="1" applyBorder="1" applyAlignment="1">
      <alignment horizontal="center"/>
    </xf>
    <xf numFmtId="0" fontId="1" fillId="3" borderId="7" xfId="1" applyFill="1" applyBorder="1" applyAlignment="1">
      <alignment horizontal="left" wrapText="1"/>
    </xf>
    <xf numFmtId="0" fontId="1" fillId="3" borderId="7" xfId="1" applyFont="1" applyFill="1" applyBorder="1" applyAlignment="1">
      <alignment horizontal="left" wrapText="1" indent="2"/>
    </xf>
    <xf numFmtId="0" fontId="1" fillId="3" borderId="7" xfId="1" applyFill="1" applyBorder="1" applyAlignment="1">
      <alignment wrapText="1"/>
    </xf>
    <xf numFmtId="0" fontId="6" fillId="3" borderId="7" xfId="1" applyFont="1" applyFill="1" applyBorder="1" applyAlignment="1">
      <alignment horizontal="left" wrapText="1" indent="2"/>
    </xf>
    <xf numFmtId="0" fontId="1" fillId="3" borderId="7" xfId="1" applyFont="1" applyFill="1" applyBorder="1" applyAlignment="1">
      <alignment horizontal="left" indent="2"/>
    </xf>
    <xf numFmtId="0" fontId="6" fillId="3" borderId="7" xfId="1" applyFont="1" applyFill="1" applyBorder="1" applyAlignment="1">
      <alignment horizontal="left" wrapText="1"/>
    </xf>
    <xf numFmtId="0" fontId="6" fillId="3" borderId="7" xfId="1" applyFont="1" applyFill="1" applyBorder="1" applyAlignment="1">
      <alignment wrapText="1"/>
    </xf>
    <xf numFmtId="0" fontId="1" fillId="3" borderId="7" xfId="1" applyFont="1" applyFill="1" applyBorder="1" applyAlignment="1">
      <alignment wrapText="1"/>
    </xf>
    <xf numFmtId="0" fontId="1" fillId="3" borderId="9" xfId="1" applyFont="1" applyFill="1" applyBorder="1" applyAlignment="1"/>
    <xf numFmtId="0" fontId="1" fillId="3" borderId="10" xfId="1" applyFont="1" applyFill="1" applyBorder="1" applyAlignment="1">
      <alignment horizontal="center"/>
    </xf>
    <xf numFmtId="4" fontId="14" fillId="0" borderId="11" xfId="3" applyNumberFormat="1" applyFont="1" applyBorder="1" applyAlignment="1">
      <alignment horizontal="right"/>
    </xf>
    <xf numFmtId="4" fontId="14" fillId="0" borderId="11" xfId="1" applyNumberFormat="1" applyFont="1" applyFill="1" applyBorder="1" applyAlignment="1">
      <alignment horizontal="right"/>
    </xf>
    <xf numFmtId="165" fontId="14" fillId="0" borderId="11" xfId="1" applyNumberFormat="1" applyFont="1" applyFill="1" applyBorder="1" applyAlignment="1">
      <alignment horizontal="right"/>
    </xf>
    <xf numFmtId="0" fontId="14" fillId="0" borderId="11" xfId="1" applyFont="1" applyFill="1" applyBorder="1" applyAlignment="1">
      <alignment horizontal="right"/>
    </xf>
    <xf numFmtId="166" fontId="14" fillId="0" borderId="11" xfId="1" applyNumberFormat="1" applyFont="1" applyFill="1" applyBorder="1" applyAlignment="1">
      <alignment horizontal="right"/>
    </xf>
    <xf numFmtId="165" fontId="14" fillId="0" borderId="13" xfId="1" applyNumberFormat="1" applyFont="1" applyFill="1" applyBorder="1" applyAlignment="1">
      <alignment horizontal="right"/>
    </xf>
    <xf numFmtId="0" fontId="1" fillId="0" borderId="11" xfId="1" applyFont="1" applyFill="1" applyBorder="1" applyAlignment="1">
      <alignment horizontal="right"/>
    </xf>
    <xf numFmtId="4" fontId="1" fillId="0" borderId="11" xfId="1" applyNumberFormat="1" applyFont="1" applyFill="1" applyBorder="1" applyAlignment="1">
      <alignment horizontal="right"/>
    </xf>
    <xf numFmtId="0" fontId="12" fillId="0" borderId="0" xfId="1" applyFont="1" applyAlignment="1">
      <alignment vertical="center" wrapText="1"/>
    </xf>
    <xf numFmtId="165" fontId="1" fillId="0" borderId="29" xfId="1" applyNumberFormat="1" applyFont="1" applyBorder="1" applyAlignment="1">
      <alignment vertical="center"/>
    </xf>
    <xf numFmtId="0" fontId="1" fillId="0" borderId="16" xfId="1" applyFont="1" applyFill="1" applyBorder="1" applyAlignment="1">
      <alignment horizontal="right"/>
    </xf>
    <xf numFmtId="4" fontId="1" fillId="0" borderId="16" xfId="1" applyNumberFormat="1" applyFont="1" applyFill="1" applyBorder="1" applyAlignment="1">
      <alignment horizontal="right"/>
    </xf>
    <xf numFmtId="166" fontId="14" fillId="0" borderId="16" xfId="1" applyNumberFormat="1" applyFont="1" applyFill="1" applyBorder="1" applyAlignment="1">
      <alignment horizontal="right"/>
    </xf>
    <xf numFmtId="4" fontId="14" fillId="0" borderId="16" xfId="1" applyNumberFormat="1" applyFont="1" applyFill="1" applyBorder="1" applyAlignment="1">
      <alignment horizontal="right"/>
    </xf>
    <xf numFmtId="0" fontId="14" fillId="0" borderId="16" xfId="1" applyFont="1" applyFill="1" applyBorder="1" applyAlignment="1">
      <alignment horizontal="right"/>
    </xf>
    <xf numFmtId="165" fontId="14" fillId="0" borderId="16" xfId="1" applyNumberFormat="1" applyFont="1" applyFill="1" applyBorder="1" applyAlignment="1">
      <alignment horizontal="right"/>
    </xf>
    <xf numFmtId="165" fontId="14" fillId="0" borderId="18" xfId="1" applyNumberFormat="1" applyFont="1" applyFill="1" applyBorder="1" applyAlignment="1">
      <alignment horizontal="right"/>
    </xf>
    <xf numFmtId="0" fontId="1" fillId="0" borderId="11" xfId="1" applyFont="1" applyBorder="1" applyAlignment="1"/>
    <xf numFmtId="4" fontId="1" fillId="0" borderId="11" xfId="1" applyNumberFormat="1" applyFont="1" applyBorder="1" applyAlignment="1"/>
    <xf numFmtId="0" fontId="1" fillId="0" borderId="31" xfId="1" applyFont="1" applyBorder="1" applyAlignment="1">
      <alignment vertical="center"/>
    </xf>
    <xf numFmtId="165" fontId="1" fillId="0" borderId="15" xfId="1" applyNumberFormat="1" applyFont="1" applyBorder="1" applyAlignment="1"/>
    <xf numFmtId="165" fontId="1" fillId="0" borderId="13" xfId="1" applyNumberFormat="1" applyFont="1" applyBorder="1" applyAlignment="1">
      <alignment vertical="center"/>
    </xf>
    <xf numFmtId="165" fontId="1" fillId="0" borderId="13" xfId="1" applyNumberFormat="1" applyFont="1" applyBorder="1" applyAlignment="1"/>
    <xf numFmtId="0" fontId="1" fillId="3" borderId="3" xfId="1" applyFont="1" applyFill="1" applyBorder="1" applyAlignment="1">
      <alignment horizontal="center" vertical="center"/>
    </xf>
    <xf numFmtId="0" fontId="1" fillId="0" borderId="29" xfId="1" applyFont="1" applyBorder="1" applyAlignment="1"/>
    <xf numFmtId="0" fontId="1" fillId="0" borderId="29" xfId="1" applyFont="1" applyBorder="1" applyAlignment="1">
      <alignment vertical="center"/>
    </xf>
    <xf numFmtId="4" fontId="1" fillId="0" borderId="11" xfId="1" applyNumberFormat="1" applyFont="1" applyFill="1" applyBorder="1" applyAlignment="1"/>
    <xf numFmtId="166" fontId="14" fillId="0" borderId="11" xfId="1" applyNumberFormat="1" applyFont="1" applyFill="1" applyBorder="1" applyAlignment="1"/>
    <xf numFmtId="4" fontId="14" fillId="0" borderId="11" xfId="1" applyNumberFormat="1" applyFont="1" applyFill="1" applyBorder="1" applyAlignment="1"/>
    <xf numFmtId="4" fontId="1" fillId="0" borderId="11" xfId="1" applyNumberFormat="1" applyFont="1" applyBorder="1"/>
    <xf numFmtId="4" fontId="1" fillId="0" borderId="36" xfId="1" applyNumberFormat="1" applyFont="1" applyBorder="1"/>
    <xf numFmtId="4" fontId="17" fillId="0" borderId="11" xfId="1" applyNumberFormat="1" applyFont="1" applyBorder="1" applyAlignment="1"/>
    <xf numFmtId="4" fontId="17" fillId="0" borderId="36" xfId="1" applyNumberFormat="1" applyFont="1" applyBorder="1"/>
    <xf numFmtId="0" fontId="1" fillId="3" borderId="4" xfId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51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1" xfId="0" applyBorder="1" applyAlignment="1">
      <alignment horizontal="center" wrapText="1"/>
    </xf>
    <xf numFmtId="15" fontId="0" fillId="0" borderId="0" xfId="0" applyNumberFormat="1"/>
    <xf numFmtId="15" fontId="0" fillId="0" borderId="0" xfId="0" applyNumberFormat="1" applyAlignment="1">
      <alignment vertical="top" wrapText="1"/>
    </xf>
    <xf numFmtId="0" fontId="0" fillId="0" borderId="0" xfId="0" applyAlignment="1">
      <alignment horizontal="center"/>
    </xf>
    <xf numFmtId="0" fontId="22" fillId="0" borderId="0" xfId="0" applyFont="1"/>
    <xf numFmtId="4" fontId="0" fillId="0" borderId="0" xfId="0" applyNumberFormat="1" applyAlignment="1">
      <alignment wrapText="1"/>
    </xf>
    <xf numFmtId="4" fontId="0" fillId="0" borderId="0" xfId="0" applyNumberFormat="1"/>
    <xf numFmtId="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 wrapText="1"/>
    </xf>
    <xf numFmtId="4" fontId="0" fillId="0" borderId="0" xfId="0" applyNumberFormat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7" fillId="0" borderId="0" xfId="0" applyFont="1" applyAlignment="1">
      <alignment horizontal="left" wrapText="1"/>
    </xf>
    <xf numFmtId="0" fontId="27" fillId="0" borderId="0" xfId="0" applyFont="1" applyAlignment="1">
      <alignment vertical="center"/>
    </xf>
    <xf numFmtId="0" fontId="0" fillId="0" borderId="0" xfId="0" applyFill="1" applyBorder="1" applyAlignment="1">
      <alignment horizontal="center"/>
    </xf>
    <xf numFmtId="0" fontId="22" fillId="4" borderId="20" xfId="0" applyFont="1" applyFill="1" applyBorder="1" applyAlignment="1">
      <alignment horizontal="center"/>
    </xf>
    <xf numFmtId="0" fontId="22" fillId="4" borderId="23" xfId="0" applyFont="1" applyFill="1" applyBorder="1" applyAlignment="1">
      <alignment horizontal="center"/>
    </xf>
    <xf numFmtId="0" fontId="22" fillId="4" borderId="52" xfId="0" applyFont="1" applyFill="1" applyBorder="1" applyAlignment="1">
      <alignment horizontal="center"/>
    </xf>
    <xf numFmtId="0" fontId="27" fillId="0" borderId="0" xfId="0" applyFont="1" applyAlignment="1">
      <alignment horizontal="left" wrapText="1"/>
    </xf>
    <xf numFmtId="0" fontId="0" fillId="0" borderId="5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53" xfId="0" applyBorder="1" applyAlignment="1">
      <alignment horizontal="left"/>
    </xf>
    <xf numFmtId="0" fontId="0" fillId="4" borderId="20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52" xfId="0" applyFill="1" applyBorder="1" applyAlignment="1">
      <alignment horizontal="center"/>
    </xf>
    <xf numFmtId="0" fontId="0" fillId="0" borderId="53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26" fillId="4" borderId="51" xfId="0" applyFont="1" applyFill="1" applyBorder="1" applyAlignment="1">
      <alignment horizontal="center"/>
    </xf>
    <xf numFmtId="0" fontId="26" fillId="4" borderId="20" xfId="0" applyFont="1" applyFill="1" applyBorder="1" applyAlignment="1">
      <alignment horizontal="center"/>
    </xf>
    <xf numFmtId="0" fontId="26" fillId="4" borderId="23" xfId="0" applyFont="1" applyFill="1" applyBorder="1" applyAlignment="1">
      <alignment horizontal="center"/>
    </xf>
    <xf numFmtId="0" fontId="26" fillId="4" borderId="52" xfId="0" applyFont="1" applyFill="1" applyBorder="1" applyAlignment="1">
      <alignment horizontal="center"/>
    </xf>
    <xf numFmtId="0" fontId="12" fillId="0" borderId="0" xfId="1" applyFont="1" applyAlignment="1">
      <alignment horizontal="left" vertical="center" wrapText="1"/>
    </xf>
    <xf numFmtId="0" fontId="15" fillId="0" borderId="0" xfId="1" applyFont="1" applyAlignment="1">
      <alignment horizontal="left" wrapText="1"/>
    </xf>
    <xf numFmtId="0" fontId="1" fillId="3" borderId="44" xfId="1" applyFont="1" applyFill="1" applyBorder="1" applyAlignment="1">
      <alignment horizontal="center" vertical="center"/>
    </xf>
    <xf numFmtId="0" fontId="1" fillId="3" borderId="42" xfId="1" applyFont="1" applyFill="1" applyBorder="1" applyAlignment="1">
      <alignment horizontal="center" vertical="center"/>
    </xf>
    <xf numFmtId="4" fontId="1" fillId="0" borderId="39" xfId="1" applyNumberFormat="1" applyFont="1" applyFill="1" applyBorder="1" applyAlignment="1">
      <alignment horizontal="right"/>
    </xf>
    <xf numFmtId="4" fontId="1" fillId="0" borderId="11" xfId="1" applyNumberFormat="1" applyFont="1" applyFill="1" applyBorder="1" applyAlignment="1">
      <alignment horizontal="right"/>
    </xf>
    <xf numFmtId="4" fontId="1" fillId="2" borderId="33" xfId="1" applyNumberFormat="1" applyFont="1" applyFill="1" applyBorder="1" applyAlignment="1">
      <alignment horizontal="right"/>
    </xf>
    <xf numFmtId="4" fontId="1" fillId="2" borderId="14" xfId="1" applyNumberFormat="1" applyFont="1" applyFill="1" applyBorder="1" applyAlignment="1">
      <alignment horizontal="right"/>
    </xf>
    <xf numFmtId="4" fontId="1" fillId="0" borderId="33" xfId="1" applyNumberFormat="1" applyFont="1" applyBorder="1" applyAlignment="1">
      <alignment horizontal="right"/>
    </xf>
    <xf numFmtId="4" fontId="1" fillId="0" borderId="14" xfId="1" applyNumberFormat="1" applyFont="1" applyBorder="1" applyAlignment="1">
      <alignment horizontal="right"/>
    </xf>
    <xf numFmtId="2" fontId="1" fillId="0" borderId="33" xfId="1" applyNumberFormat="1" applyFont="1" applyBorder="1" applyAlignment="1">
      <alignment horizontal="right"/>
    </xf>
    <xf numFmtId="2" fontId="1" fillId="0" borderId="14" xfId="1" applyNumberFormat="1" applyFont="1" applyBorder="1" applyAlignment="1">
      <alignment horizontal="right"/>
    </xf>
    <xf numFmtId="4" fontId="6" fillId="2" borderId="33" xfId="1" applyNumberFormat="1" applyFont="1" applyFill="1" applyBorder="1" applyAlignment="1">
      <alignment horizontal="right"/>
    </xf>
    <xf numFmtId="4" fontId="6" fillId="2" borderId="14" xfId="1" applyNumberFormat="1" applyFont="1" applyFill="1" applyBorder="1" applyAlignment="1">
      <alignment horizontal="right"/>
    </xf>
    <xf numFmtId="2" fontId="1" fillId="0" borderId="19" xfId="1" applyNumberFormat="1" applyFont="1" applyBorder="1" applyAlignment="1">
      <alignment horizontal="right"/>
    </xf>
    <xf numFmtId="2" fontId="1" fillId="0" borderId="34" xfId="1" applyNumberFormat="1" applyFont="1" applyBorder="1" applyAlignment="1">
      <alignment horizontal="right"/>
    </xf>
    <xf numFmtId="4" fontId="1" fillId="0" borderId="19" xfId="1" applyNumberFormat="1" applyFont="1" applyBorder="1" applyAlignment="1">
      <alignment horizontal="right"/>
    </xf>
    <xf numFmtId="4" fontId="1" fillId="0" borderId="34" xfId="1" applyNumberFormat="1" applyFont="1" applyBorder="1" applyAlignment="1">
      <alignment horizontal="right"/>
    </xf>
    <xf numFmtId="0" fontId="1" fillId="3" borderId="43" xfId="1" applyFont="1" applyFill="1" applyBorder="1" applyAlignment="1">
      <alignment horizontal="center" vertical="center"/>
    </xf>
    <xf numFmtId="4" fontId="6" fillId="2" borderId="41" xfId="1" applyNumberFormat="1" applyFont="1" applyFill="1" applyBorder="1" applyAlignment="1">
      <alignment horizontal="right"/>
    </xf>
    <xf numFmtId="4" fontId="6" fillId="2" borderId="35" xfId="1" applyNumberFormat="1" applyFont="1" applyFill="1" applyBorder="1" applyAlignment="1">
      <alignment horizontal="right"/>
    </xf>
    <xf numFmtId="0" fontId="2" fillId="0" borderId="0" xfId="1" applyFont="1" applyAlignment="1">
      <alignment horizontal="left"/>
    </xf>
    <xf numFmtId="0" fontId="1" fillId="3" borderId="48" xfId="1" applyFont="1" applyFill="1" applyBorder="1" applyAlignment="1">
      <alignment horizontal="left" vertical="center" wrapText="1"/>
    </xf>
    <xf numFmtId="0" fontId="1" fillId="3" borderId="49" xfId="1" applyFont="1" applyFill="1" applyBorder="1" applyAlignment="1">
      <alignment horizontal="left" vertical="center" wrapText="1"/>
    </xf>
    <xf numFmtId="0" fontId="1" fillId="3" borderId="9" xfId="1" applyFont="1" applyFill="1" applyBorder="1" applyAlignment="1">
      <alignment horizontal="left" vertical="center" wrapText="1"/>
    </xf>
    <xf numFmtId="0" fontId="1" fillId="3" borderId="10" xfId="1" applyFont="1" applyFill="1" applyBorder="1" applyAlignment="1">
      <alignment horizontal="left" vertical="center" wrapText="1"/>
    </xf>
    <xf numFmtId="0" fontId="9" fillId="0" borderId="0" xfId="4" applyNumberFormat="1" applyAlignment="1" applyProtection="1">
      <alignment horizontal="center" wrapText="1"/>
    </xf>
    <xf numFmtId="4" fontId="1" fillId="0" borderId="33" xfId="1" applyNumberFormat="1" applyFont="1" applyBorder="1" applyAlignment="1">
      <alignment horizontal="right" wrapText="1"/>
    </xf>
    <xf numFmtId="4" fontId="1" fillId="0" borderId="14" xfId="1" applyNumberFormat="1" applyFont="1" applyBorder="1" applyAlignment="1">
      <alignment horizontal="right" wrapText="1"/>
    </xf>
    <xf numFmtId="4" fontId="8" fillId="2" borderId="33" xfId="1" applyNumberFormat="1" applyFont="1" applyFill="1" applyBorder="1" applyAlignment="1">
      <alignment horizontal="right" wrapText="1"/>
    </xf>
    <xf numFmtId="4" fontId="8" fillId="2" borderId="14" xfId="1" applyNumberFormat="1" applyFont="1" applyFill="1" applyBorder="1" applyAlignment="1">
      <alignment horizontal="right" wrapText="1"/>
    </xf>
    <xf numFmtId="0" fontId="13" fillId="0" borderId="0" xfId="1" applyFont="1" applyAlignment="1">
      <alignment horizontal="left" vertical="center" wrapText="1"/>
    </xf>
    <xf numFmtId="4" fontId="1" fillId="0" borderId="46" xfId="1" applyNumberFormat="1" applyFont="1" applyBorder="1" applyAlignment="1">
      <alignment horizontal="right" wrapText="1"/>
    </xf>
    <xf numFmtId="4" fontId="1" fillId="0" borderId="38" xfId="1" applyNumberFormat="1" applyFont="1" applyBorder="1" applyAlignment="1">
      <alignment horizontal="right" wrapText="1"/>
    </xf>
    <xf numFmtId="0" fontId="1" fillId="3" borderId="45" xfId="1" applyFont="1" applyFill="1" applyBorder="1" applyAlignment="1">
      <alignment horizontal="center" vertical="center"/>
    </xf>
    <xf numFmtId="4" fontId="1" fillId="2" borderId="39" xfId="1" applyNumberFormat="1" applyFont="1" applyFill="1" applyBorder="1" applyAlignment="1">
      <alignment horizontal="right"/>
    </xf>
    <xf numFmtId="4" fontId="1" fillId="2" borderId="11" xfId="1" applyNumberFormat="1" applyFont="1" applyFill="1" applyBorder="1" applyAlignment="1">
      <alignment horizontal="right"/>
    </xf>
    <xf numFmtId="4" fontId="1" fillId="0" borderId="39" xfId="1" applyNumberFormat="1" applyFont="1" applyBorder="1" applyAlignment="1">
      <alignment horizontal="right"/>
    </xf>
    <xf numFmtId="4" fontId="1" fillId="0" borderId="11" xfId="1" applyNumberFormat="1" applyFont="1" applyBorder="1" applyAlignment="1">
      <alignment horizontal="right"/>
    </xf>
    <xf numFmtId="0" fontId="1" fillId="0" borderId="50" xfId="1" applyFont="1" applyBorder="1" applyAlignment="1">
      <alignment horizontal="right"/>
    </xf>
    <xf numFmtId="0" fontId="1" fillId="0" borderId="29" xfId="1" applyFont="1" applyBorder="1" applyAlignment="1">
      <alignment horizontal="right"/>
    </xf>
    <xf numFmtId="4" fontId="1" fillId="0" borderId="47" xfId="1" applyNumberFormat="1" applyFont="1" applyFill="1" applyBorder="1" applyAlignment="1">
      <alignment horizontal="right"/>
    </xf>
    <xf numFmtId="4" fontId="1" fillId="0" borderId="16" xfId="1" applyNumberFormat="1" applyFont="1" applyFill="1" applyBorder="1" applyAlignment="1">
      <alignment horizontal="right"/>
    </xf>
  </cellXfs>
  <cellStyles count="15">
    <cellStyle name="[StdExit()]" xfId="13" xr:uid="{B1FA283B-9AB7-4D61-938C-1314DFFA4D3E}"/>
    <cellStyle name="Dziesiętny 2" xfId="3" xr:uid="{9E184695-97E1-41E2-A4F1-189CDFE744AF}"/>
    <cellStyle name="Dziesiętny 3" xfId="2" xr:uid="{34E08AE0-651E-4744-A586-22E5B4612462}"/>
    <cellStyle name="Hiperłącze 2" xfId="9" xr:uid="{C38EA07E-2AEF-4CC5-948E-85E7858F14AC}"/>
    <cellStyle name="Hiperłącze 3" xfId="14" xr:uid="{396F4439-81E6-4CE8-975A-85E48C0C72A0}"/>
    <cellStyle name="Hyperlink" xfId="4" builtinId="8"/>
    <cellStyle name="Normal" xfId="0" builtinId="0"/>
    <cellStyle name="Normalny 2" xfId="5" xr:uid="{CB78C17C-4379-4BB0-8BE3-639AC785F89E}"/>
    <cellStyle name="Normalny 2 2" xfId="6" xr:uid="{13606DB1-0AC3-4DAB-A4DB-9AABFD0908E2}"/>
    <cellStyle name="Normalny 2 3" xfId="10" xr:uid="{FC64E187-BFFC-430E-9848-C4D1168C91F3}"/>
    <cellStyle name="Normalny 3" xfId="1" xr:uid="{0F0F1F58-AAB1-403C-8ABD-246D12732AB3}"/>
    <cellStyle name="Normalny 3 2" xfId="11" xr:uid="{95DB4DE1-ADCE-4F34-A296-D00B2016605D}"/>
    <cellStyle name="Normalny 4" xfId="7" xr:uid="{6C8E6808-63FC-4DC0-91D6-C7A35DD9A27B}"/>
    <cellStyle name="Normalny 5" xfId="8" xr:uid="{520D2A5B-F254-466A-9C63-F0E32AB23162}"/>
    <cellStyle name="Normalny 6" xfId="12" xr:uid="{52764521-24F8-4F09-A648-E98E4F154D1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Petla_For!$G$27:$G$100</c:f>
              <c:numCache>
                <c:formatCode>#,##0.00</c:formatCode>
                <c:ptCount val="74"/>
                <c:pt idx="0">
                  <c:v>0</c:v>
                </c:pt>
                <c:pt idx="1">
                  <c:v>0.8414709848078965</c:v>
                </c:pt>
                <c:pt idx="2">
                  <c:v>0.90929742682568171</c:v>
                </c:pt>
                <c:pt idx="3">
                  <c:v>0.14112000805986721</c:v>
                </c:pt>
                <c:pt idx="4">
                  <c:v>-0.7568024953079282</c:v>
                </c:pt>
                <c:pt idx="5">
                  <c:v>-0.95892427466313845</c:v>
                </c:pt>
                <c:pt idx="6">
                  <c:v>-0.27941549819892586</c:v>
                </c:pt>
                <c:pt idx="7">
                  <c:v>0.65698659871878906</c:v>
                </c:pt>
                <c:pt idx="8">
                  <c:v>0.98935824662338179</c:v>
                </c:pt>
                <c:pt idx="9">
                  <c:v>0.41211848524175659</c:v>
                </c:pt>
                <c:pt idx="10">
                  <c:v>-0.54402111088936977</c:v>
                </c:pt>
                <c:pt idx="11">
                  <c:v>-0.99999020655070348</c:v>
                </c:pt>
                <c:pt idx="12">
                  <c:v>-0.53657291800043494</c:v>
                </c:pt>
                <c:pt idx="13">
                  <c:v>0.42016703682664092</c:v>
                </c:pt>
                <c:pt idx="14">
                  <c:v>0.99060735569487035</c:v>
                </c:pt>
                <c:pt idx="15">
                  <c:v>0.65028784015711683</c:v>
                </c:pt>
                <c:pt idx="16">
                  <c:v>-0.2879033166650653</c:v>
                </c:pt>
                <c:pt idx="17">
                  <c:v>-0.96139749187955681</c:v>
                </c:pt>
                <c:pt idx="18">
                  <c:v>-0.75098724677167605</c:v>
                </c:pt>
                <c:pt idx="19">
                  <c:v>0.14987720966295234</c:v>
                </c:pt>
                <c:pt idx="20">
                  <c:v>0.91294525072762767</c:v>
                </c:pt>
                <c:pt idx="21">
                  <c:v>0.83665563853605607</c:v>
                </c:pt>
                <c:pt idx="22">
                  <c:v>-8.8513092904038762E-3</c:v>
                </c:pt>
                <c:pt idx="23">
                  <c:v>-0.84622040417517064</c:v>
                </c:pt>
                <c:pt idx="24">
                  <c:v>-0.90557836200662389</c:v>
                </c:pt>
                <c:pt idx="25">
                  <c:v>-0.13235175009777303</c:v>
                </c:pt>
                <c:pt idx="26">
                  <c:v>0.76255845047960269</c:v>
                </c:pt>
                <c:pt idx="27">
                  <c:v>0.95637592840450303</c:v>
                </c:pt>
                <c:pt idx="28">
                  <c:v>0.27090578830786904</c:v>
                </c:pt>
                <c:pt idx="29">
                  <c:v>-0.66363388421296754</c:v>
                </c:pt>
                <c:pt idx="30">
                  <c:v>-0.98803162409286183</c:v>
                </c:pt>
                <c:pt idx="31">
                  <c:v>-0.40403764532306502</c:v>
                </c:pt>
                <c:pt idx="32">
                  <c:v>0.55142668124169059</c:v>
                </c:pt>
                <c:pt idx="33">
                  <c:v>0.99991186010726718</c:v>
                </c:pt>
                <c:pt idx="34">
                  <c:v>0.52908268612002385</c:v>
                </c:pt>
                <c:pt idx="35">
                  <c:v>-0.42818266949615102</c:v>
                </c:pt>
                <c:pt idx="36">
                  <c:v>-0.99177885344311578</c:v>
                </c:pt>
                <c:pt idx="37">
                  <c:v>-0.6435381333569995</c:v>
                </c:pt>
                <c:pt idx="38">
                  <c:v>0.29636857870938532</c:v>
                </c:pt>
                <c:pt idx="39">
                  <c:v>0.96379538628408779</c:v>
                </c:pt>
                <c:pt idx="40">
                  <c:v>0.74511316047934883</c:v>
                </c:pt>
                <c:pt idx="41">
                  <c:v>-0.15862266880470899</c:v>
                </c:pt>
                <c:pt idx="42">
                  <c:v>-0.91652154791563378</c:v>
                </c:pt>
                <c:pt idx="43">
                  <c:v>-0.8317747426285983</c:v>
                </c:pt>
                <c:pt idx="44">
                  <c:v>1.7701925105413577E-2</c:v>
                </c:pt>
                <c:pt idx="45">
                  <c:v>0.85090352453411844</c:v>
                </c:pt>
                <c:pt idx="46">
                  <c:v>0.90178834764880922</c:v>
                </c:pt>
                <c:pt idx="47">
                  <c:v>0.123573122745224</c:v>
                </c:pt>
                <c:pt idx="48">
                  <c:v>-0.76825466132366682</c:v>
                </c:pt>
                <c:pt idx="49">
                  <c:v>-0.95375265275947185</c:v>
                </c:pt>
                <c:pt idx="50">
                  <c:v>-0.26237485370392877</c:v>
                </c:pt>
                <c:pt idx="51">
                  <c:v>0.67022917584337471</c:v>
                </c:pt>
                <c:pt idx="52">
                  <c:v>0.98662759204048534</c:v>
                </c:pt>
                <c:pt idx="53">
                  <c:v>0.39592515018183416</c:v>
                </c:pt>
                <c:pt idx="54">
                  <c:v>-0.55878904885161629</c:v>
                </c:pt>
                <c:pt idx="55">
                  <c:v>-0.99975517335861985</c:v>
                </c:pt>
                <c:pt idx="56">
                  <c:v>-0.52155100208691185</c:v>
                </c:pt>
                <c:pt idx="57">
                  <c:v>0.43616475524782494</c:v>
                </c:pt>
                <c:pt idx="58">
                  <c:v>0.99287264808453712</c:v>
                </c:pt>
                <c:pt idx="59">
                  <c:v>0.63673800713913786</c:v>
                </c:pt>
                <c:pt idx="60">
                  <c:v>-0.30481062110221668</c:v>
                </c:pt>
                <c:pt idx="61">
                  <c:v>-0.96611777000839294</c:v>
                </c:pt>
                <c:pt idx="62">
                  <c:v>-0.73918069664922281</c:v>
                </c:pt>
                <c:pt idx="63">
                  <c:v>0.16735570030280691</c:v>
                </c:pt>
                <c:pt idx="64">
                  <c:v>0.92002603819679063</c:v>
                </c:pt>
                <c:pt idx="65">
                  <c:v>0.82682867949010341</c:v>
                </c:pt>
                <c:pt idx="66">
                  <c:v>-2.6551154023966794E-2</c:v>
                </c:pt>
                <c:pt idx="67">
                  <c:v>-0.85551997897532228</c:v>
                </c:pt>
                <c:pt idx="68">
                  <c:v>-0.8979276806892913</c:v>
                </c:pt>
                <c:pt idx="69">
                  <c:v>-0.11478481378318722</c:v>
                </c:pt>
                <c:pt idx="70">
                  <c:v>0.77389068155788909</c:v>
                </c:pt>
                <c:pt idx="71">
                  <c:v>0.95105465325437466</c:v>
                </c:pt>
                <c:pt idx="72">
                  <c:v>0.25382336276203626</c:v>
                </c:pt>
                <c:pt idx="73">
                  <c:v>-0.67677195688730762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FB-43CD-A39D-E1A1A31E7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2779711"/>
        <c:axId val="910519583"/>
      </c:lineChart>
      <c:catAx>
        <c:axId val="9127797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519583"/>
        <c:crosses val="autoZero"/>
        <c:auto val="1"/>
        <c:lblAlgn val="ctr"/>
        <c:lblOffset val="100"/>
        <c:noMultiLvlLbl val="0"/>
      </c:catAx>
      <c:valAx>
        <c:axId val="910519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779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Wykresy!$I$27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Wykresy!$G$28:$G$1457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Wykresy!$I$28:$I$1457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C0-4C11-BE5E-773331A54A3E}"/>
            </c:ext>
          </c:extLst>
        </c:ser>
        <c:ser>
          <c:idx val="3"/>
          <c:order val="1"/>
          <c:tx>
            <c:strRef>
              <c:f>Wykresy!$J$27</c:f>
              <c:strCache>
                <c:ptCount val="1"/>
                <c:pt idx="0">
                  <c:v>Przeciętne miesięczne wynagrodzenie nominalne brutto  w sferze budżetowej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Wykresy!$G$28:$G$1457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Wykresy!$J$28:$J$1457</c:f>
              <c:numCache>
                <c:formatCode>#,##0</c:formatCode>
                <c:ptCount val="1430"/>
                <c:pt idx="0">
                  <c:v>4920.47</c:v>
                </c:pt>
                <c:pt idx="1">
                  <c:v>3840.74</c:v>
                </c:pt>
                <c:pt idx="2">
                  <c:v>3899.84</c:v>
                </c:pt>
                <c:pt idx="3">
                  <c:v>4169.68</c:v>
                </c:pt>
                <c:pt idx="4">
                  <c:v>5004.17</c:v>
                </c:pt>
                <c:pt idx="5">
                  <c:v>3982.83</c:v>
                </c:pt>
                <c:pt idx="6">
                  <c:v>4049.11</c:v>
                </c:pt>
                <c:pt idx="7">
                  <c:v>4365.79</c:v>
                </c:pt>
                <c:pt idx="8">
                  <c:v>5162.43</c:v>
                </c:pt>
                <c:pt idx="9">
                  <c:v>4110.8100000000004</c:v>
                </c:pt>
                <c:pt idx="10">
                  <c:v>4123.05</c:v>
                </c:pt>
                <c:pt idx="11">
                  <c:v>4613.17</c:v>
                </c:pt>
                <c:pt idx="12">
                  <c:v>5384.73</c:v>
                </c:pt>
                <c:pt idx="13">
                  <c:v>4327.32</c:v>
                </c:pt>
                <c:pt idx="14">
                  <c:v>4442.46</c:v>
                </c:pt>
                <c:pt idx="15">
                  <c:v>4850.78</c:v>
                </c:pt>
                <c:pt idx="16">
                  <c:v>5748.64</c:v>
                </c:pt>
                <c:pt idx="17">
                  <c:v>4532.04</c:v>
                </c:pt>
                <c:pt idx="18">
                  <c:v>4858.42</c:v>
                </c:pt>
                <c:pt idx="19">
                  <c:v>5306.15</c:v>
                </c:pt>
                <c:pt idx="20">
                  <c:v>6269.83</c:v>
                </c:pt>
                <c:pt idx="21">
                  <c:v>5007.6400000000003</c:v>
                </c:pt>
                <c:pt idx="22">
                  <c:v>5325.65</c:v>
                </c:pt>
                <c:pt idx="23">
                  <c:v>5698.13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C0-4C11-BE5E-773331A54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  <c:majorUnit val="1"/>
        <c:majorTimeUnit val="years"/>
      </c:dateAx>
      <c:valAx>
        <c:axId val="1091149919"/>
        <c:scaling>
          <c:orientation val="minMax"/>
          <c:min val="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Wykresy!$M$27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Wykresy!$L$28:$L$1457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Wykresy!$M$28:$M$1457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4E-412E-B1AE-FF98C43EF918}"/>
            </c:ext>
          </c:extLst>
        </c:ser>
        <c:ser>
          <c:idx val="3"/>
          <c:order val="1"/>
          <c:tx>
            <c:strRef>
              <c:f>Wykresy!$N$27</c:f>
              <c:strCache>
                <c:ptCount val="1"/>
                <c:pt idx="0">
                  <c:v>Przeciętne miesięczne wynagrodzenie nominalne brutto w budownictwieb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Wykresy!$L$28:$L$1457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Wykresy!$N$28:$N$1457</c:f>
              <c:numCache>
                <c:formatCode>#,##0</c:formatCode>
                <c:ptCount val="1430"/>
                <c:pt idx="0">
                  <c:v>3899.01</c:v>
                </c:pt>
                <c:pt idx="1">
                  <c:v>4042.29</c:v>
                </c:pt>
                <c:pt idx="2">
                  <c:v>4111.21</c:v>
                </c:pt>
                <c:pt idx="3">
                  <c:v>4249.78</c:v>
                </c:pt>
                <c:pt idx="4">
                  <c:v>4042.8</c:v>
                </c:pt>
                <c:pt idx="5">
                  <c:v>4296.46</c:v>
                </c:pt>
                <c:pt idx="6">
                  <c:v>4257.7700000000004</c:v>
                </c:pt>
                <c:pt idx="7">
                  <c:v>4408.3500000000004</c:v>
                </c:pt>
                <c:pt idx="8">
                  <c:v>4267.0200000000004</c:v>
                </c:pt>
                <c:pt idx="9">
                  <c:v>4466.95</c:v>
                </c:pt>
                <c:pt idx="10">
                  <c:v>4572.97</c:v>
                </c:pt>
                <c:pt idx="11">
                  <c:v>4816.68</c:v>
                </c:pt>
                <c:pt idx="12">
                  <c:v>4592.8900000000003</c:v>
                </c:pt>
                <c:pt idx="13">
                  <c:v>4869.6000000000004</c:v>
                </c:pt>
                <c:pt idx="14">
                  <c:v>5010.96</c:v>
                </c:pt>
                <c:pt idx="15">
                  <c:v>5119.68</c:v>
                </c:pt>
                <c:pt idx="16">
                  <c:v>4873.42</c:v>
                </c:pt>
                <c:pt idx="17">
                  <c:v>5283.01</c:v>
                </c:pt>
                <c:pt idx="18">
                  <c:v>5234.7299999999996</c:v>
                </c:pt>
                <c:pt idx="19">
                  <c:v>5462.46</c:v>
                </c:pt>
                <c:pt idx="20">
                  <c:v>5180.03</c:v>
                </c:pt>
                <c:pt idx="21">
                  <c:v>5325.21</c:v>
                </c:pt>
                <c:pt idx="22">
                  <c:v>5490.26</c:v>
                </c:pt>
                <c:pt idx="23">
                  <c:v>5610.77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4E-412E-B1AE-FF98C43EF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  <c:majorUnit val="1"/>
        <c:majorTimeUnit val="years"/>
      </c:dateAx>
      <c:valAx>
        <c:axId val="1091149919"/>
        <c:scaling>
          <c:orientation val="minMax"/>
          <c:min val="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Wykresy!$M$27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Wykresy!$L$28:$L$1457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Wykresy!$M$28:$M$1457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D6-41CB-BACF-F78687A5578E}"/>
            </c:ext>
          </c:extLst>
        </c:ser>
        <c:ser>
          <c:idx val="3"/>
          <c:order val="1"/>
          <c:tx>
            <c:strRef>
              <c:f>Wykresy!$N$27</c:f>
              <c:strCache>
                <c:ptCount val="1"/>
                <c:pt idx="0">
                  <c:v>Przeciętne miesięczne wynagrodzenie nominalne brutto w budownictwieb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Wykresy!$L$28:$L$1457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Wykresy!$N$28:$N$1457</c:f>
              <c:numCache>
                <c:formatCode>#,##0</c:formatCode>
                <c:ptCount val="1430"/>
                <c:pt idx="0">
                  <c:v>3899.01</c:v>
                </c:pt>
                <c:pt idx="1">
                  <c:v>4042.29</c:v>
                </c:pt>
                <c:pt idx="2">
                  <c:v>4111.21</c:v>
                </c:pt>
                <c:pt idx="3">
                  <c:v>4249.78</c:v>
                </c:pt>
                <c:pt idx="4">
                  <c:v>4042.8</c:v>
                </c:pt>
                <c:pt idx="5">
                  <c:v>4296.46</c:v>
                </c:pt>
                <c:pt idx="6">
                  <c:v>4257.7700000000004</c:v>
                </c:pt>
                <c:pt idx="7">
                  <c:v>4408.3500000000004</c:v>
                </c:pt>
                <c:pt idx="8">
                  <c:v>4267.0200000000004</c:v>
                </c:pt>
                <c:pt idx="9">
                  <c:v>4466.95</c:v>
                </c:pt>
                <c:pt idx="10">
                  <c:v>4572.97</c:v>
                </c:pt>
                <c:pt idx="11">
                  <c:v>4816.68</c:v>
                </c:pt>
                <c:pt idx="12">
                  <c:v>4592.8900000000003</c:v>
                </c:pt>
                <c:pt idx="13">
                  <c:v>4869.6000000000004</c:v>
                </c:pt>
                <c:pt idx="14">
                  <c:v>5010.96</c:v>
                </c:pt>
                <c:pt idx="15">
                  <c:v>5119.68</c:v>
                </c:pt>
                <c:pt idx="16">
                  <c:v>4873.42</c:v>
                </c:pt>
                <c:pt idx="17">
                  <c:v>5283.01</c:v>
                </c:pt>
                <c:pt idx="18">
                  <c:v>5234.7299999999996</c:v>
                </c:pt>
                <c:pt idx="19">
                  <c:v>5462.46</c:v>
                </c:pt>
                <c:pt idx="20">
                  <c:v>5180.03</c:v>
                </c:pt>
                <c:pt idx="21">
                  <c:v>5325.21</c:v>
                </c:pt>
                <c:pt idx="22">
                  <c:v>5490.26</c:v>
                </c:pt>
                <c:pt idx="23">
                  <c:v>5610.77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D6-41CB-BACF-F78687A55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  <c:majorUnit val="1"/>
        <c:majorTimeUnit val="years"/>
      </c:dateAx>
      <c:valAx>
        <c:axId val="1091149919"/>
        <c:scaling>
          <c:orientation val="minMax"/>
          <c:min val="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Solver!$AF$14</c:f>
              <c:strCache>
                <c:ptCount val="1"/>
                <c:pt idx="0">
                  <c:v>Dane</c:v>
                </c:pt>
              </c:strCache>
            </c:strRef>
          </c:tx>
          <c:marker>
            <c:symbol val="none"/>
          </c:marker>
          <c:val>
            <c:numRef>
              <c:f>Solver!$AG$14:$AP$14</c:f>
              <c:numCache>
                <c:formatCode>#,##0.00</c:formatCode>
                <c:ptCount val="10"/>
                <c:pt idx="0">
                  <c:v>1.7825</c:v>
                </c:pt>
                <c:pt idx="1">
                  <c:v>1.96</c:v>
                </c:pt>
                <c:pt idx="2">
                  <c:v>2.1225000000000001</c:v>
                </c:pt>
                <c:pt idx="3">
                  <c:v>2.2749999999999999</c:v>
                </c:pt>
                <c:pt idx="4">
                  <c:v>2.4</c:v>
                </c:pt>
                <c:pt idx="5">
                  <c:v>2.5074999999999998</c:v>
                </c:pt>
                <c:pt idx="6">
                  <c:v>2.6</c:v>
                </c:pt>
                <c:pt idx="7">
                  <c:v>2.6875</c:v>
                </c:pt>
                <c:pt idx="8">
                  <c:v>2.7675000000000001</c:v>
                </c:pt>
                <c:pt idx="9">
                  <c:v>2.84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AD-4ACD-8056-999EE46DCD3D}"/>
            </c:ext>
          </c:extLst>
        </c:ser>
        <c:ser>
          <c:idx val="1"/>
          <c:order val="1"/>
          <c:tx>
            <c:strRef>
              <c:f>Solver!$AF$15</c:f>
              <c:strCache>
                <c:ptCount val="1"/>
                <c:pt idx="0">
                  <c:v>Dopasowane wartości</c:v>
                </c:pt>
              </c:strCache>
            </c:strRef>
          </c:tx>
          <c:marker>
            <c:symbol val="none"/>
          </c:marker>
          <c:val>
            <c:numRef>
              <c:f>Solver!$AG$15:$AP$15</c:f>
              <c:numCache>
                <c:formatCode>#,##0.00</c:formatCode>
                <c:ptCount val="10"/>
                <c:pt idx="0">
                  <c:v>1.6000018738362582</c:v>
                </c:pt>
                <c:pt idx="1">
                  <c:v>2.1616222539637078</c:v>
                </c:pt>
                <c:pt idx="2">
                  <c:v>2.3488290216315297</c:v>
                </c:pt>
                <c:pt idx="3">
                  <c:v>2.44243240546544</c:v>
                </c:pt>
                <c:pt idx="4">
                  <c:v>2.4985944357657859</c:v>
                </c:pt>
                <c:pt idx="5">
                  <c:v>2.5360357892993499</c:v>
                </c:pt>
                <c:pt idx="6">
                  <c:v>2.5627796132518958</c:v>
                </c:pt>
                <c:pt idx="7">
                  <c:v>2.5828374812163051</c:v>
                </c:pt>
                <c:pt idx="8">
                  <c:v>2.5984380451886238</c:v>
                </c:pt>
                <c:pt idx="9">
                  <c:v>2.6109184963664784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AD-4ACD-8056-999EE46D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64855568"/>
        <c:axId val="-1864855024"/>
      </c:lineChart>
      <c:catAx>
        <c:axId val="-1864855568"/>
        <c:scaling>
          <c:orientation val="minMax"/>
        </c:scaling>
        <c:delete val="0"/>
        <c:axPos val="b"/>
        <c:majorTickMark val="out"/>
        <c:minorTickMark val="none"/>
        <c:tickLblPos val="nextTo"/>
        <c:crossAx val="-1864855024"/>
        <c:crosses val="autoZero"/>
        <c:auto val="1"/>
        <c:lblAlgn val="ctr"/>
        <c:lblOffset val="100"/>
        <c:noMultiLvlLbl val="0"/>
      </c:catAx>
      <c:valAx>
        <c:axId val="-1864855024"/>
        <c:scaling>
          <c:orientation val="minMax"/>
          <c:min val="1.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-18648555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742122</xdr:colOff>
      <xdr:row>20</xdr:row>
      <xdr:rowOff>145774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C1DBD06D-97D6-4082-8E4D-981F8B13DF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521805</xdr:colOff>
      <xdr:row>6</xdr:row>
      <xdr:rowOff>41413</xdr:rowOff>
    </xdr:from>
    <xdr:to>
      <xdr:col>9</xdr:col>
      <xdr:colOff>1485136</xdr:colOff>
      <xdr:row>20</xdr:row>
      <xdr:rowOff>117613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13</xdr:col>
      <xdr:colOff>1932396</xdr:colOff>
      <xdr:row>20</xdr:row>
      <xdr:rowOff>76200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1962979</xdr:colOff>
      <xdr:row>20</xdr:row>
      <xdr:rowOff>76200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421822</xdr:colOff>
      <xdr:row>1</xdr:row>
      <xdr:rowOff>104774</xdr:rowOff>
    </xdr:from>
    <xdr:to>
      <xdr:col>27</xdr:col>
      <xdr:colOff>381000</xdr:colOff>
      <xdr:row>14</xdr:row>
      <xdr:rowOff>180974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448DE-7F2D-4A4D-AACF-7B10AC000FCE}">
  <sheetPr codeName="Arkusz1"/>
  <dimension ref="B2:J100"/>
  <sheetViews>
    <sheetView showGridLines="0" topLeftCell="D9" zoomScale="115" zoomScaleNormal="115" workbookViewId="0">
      <selection activeCell="I23" sqref="I23"/>
    </sheetView>
  </sheetViews>
  <sheetFormatPr defaultRowHeight="15"/>
  <cols>
    <col min="2" max="2" width="24" customWidth="1"/>
    <col min="3" max="3" width="13.5703125" customWidth="1"/>
    <col min="4" max="4" width="20.42578125" customWidth="1"/>
    <col min="5" max="5" width="25.42578125" customWidth="1"/>
    <col min="7" max="10" width="27.85546875" customWidth="1"/>
  </cols>
  <sheetData>
    <row r="2" spans="2:10">
      <c r="B2" s="199" t="s">
        <v>133</v>
      </c>
      <c r="C2" s="200"/>
      <c r="D2" s="200"/>
      <c r="E2" s="201"/>
      <c r="G2" s="199" t="s">
        <v>144</v>
      </c>
      <c r="H2" s="200"/>
      <c r="I2" s="200"/>
      <c r="J2" s="201"/>
    </row>
    <row r="3" spans="2:10">
      <c r="B3" s="203" t="s">
        <v>145</v>
      </c>
      <c r="C3" s="203"/>
      <c r="D3" s="203"/>
      <c r="E3" s="203"/>
      <c r="G3" s="205" t="s">
        <v>147</v>
      </c>
      <c r="H3" s="205"/>
      <c r="I3" s="205"/>
      <c r="J3" s="205"/>
    </row>
    <row r="4" spans="2:10" ht="45" customHeight="1">
      <c r="B4" s="204"/>
      <c r="C4" s="204"/>
      <c r="D4" s="204"/>
      <c r="E4" s="204"/>
      <c r="G4" s="193" t="s">
        <v>152</v>
      </c>
    </row>
    <row r="5" spans="2:10" ht="46.5" customHeight="1">
      <c r="B5" s="202" t="s">
        <v>132</v>
      </c>
      <c r="C5" s="202"/>
      <c r="D5" s="202"/>
      <c r="E5" s="202"/>
      <c r="G5" s="197" t="s">
        <v>153</v>
      </c>
    </row>
    <row r="6" spans="2:10" ht="22.5" customHeight="1">
      <c r="B6" s="196"/>
      <c r="C6" s="196"/>
      <c r="D6" s="196"/>
      <c r="E6" s="196"/>
    </row>
    <row r="7" spans="2:10">
      <c r="B7" s="182" t="s">
        <v>137</v>
      </c>
      <c r="G7" s="182" t="s">
        <v>137</v>
      </c>
    </row>
    <row r="8" spans="2:10">
      <c r="B8" t="s">
        <v>151</v>
      </c>
      <c r="G8" t="s">
        <v>151</v>
      </c>
    </row>
    <row r="9" spans="2:10">
      <c r="B9" s="192" t="s">
        <v>134</v>
      </c>
      <c r="G9" s="192" t="s">
        <v>156</v>
      </c>
      <c r="I9" s="194" t="s">
        <v>157</v>
      </c>
    </row>
    <row r="10" spans="2:10">
      <c r="B10" t="s">
        <v>135</v>
      </c>
      <c r="G10" s="192" t="s">
        <v>159</v>
      </c>
      <c r="I10" s="194" t="s">
        <v>158</v>
      </c>
    </row>
    <row r="11" spans="2:10">
      <c r="B11" t="s">
        <v>136</v>
      </c>
    </row>
    <row r="13" spans="2:10">
      <c r="B13" s="182" t="s">
        <v>138</v>
      </c>
      <c r="G13" s="182" t="s">
        <v>154</v>
      </c>
    </row>
    <row r="14" spans="2:10">
      <c r="B14" t="s">
        <v>139</v>
      </c>
      <c r="C14" s="194" t="s">
        <v>140</v>
      </c>
      <c r="G14" t="s">
        <v>155</v>
      </c>
    </row>
    <row r="15" spans="2:10">
      <c r="B15" t="s">
        <v>141</v>
      </c>
      <c r="C15" s="194" t="s">
        <v>142</v>
      </c>
    </row>
    <row r="16" spans="2:10">
      <c r="C16" s="194"/>
      <c r="G16" s="182" t="s">
        <v>161</v>
      </c>
    </row>
    <row r="17" spans="2:10">
      <c r="B17" s="182" t="s">
        <v>146</v>
      </c>
      <c r="G17" t="s">
        <v>160</v>
      </c>
    </row>
    <row r="18" spans="2:10">
      <c r="B18" t="s">
        <v>86</v>
      </c>
    </row>
    <row r="19" spans="2:10">
      <c r="C19" s="194" t="s">
        <v>87</v>
      </c>
      <c r="G19" s="192" t="s">
        <v>162</v>
      </c>
    </row>
    <row r="21" spans="2:10">
      <c r="B21" t="s">
        <v>88</v>
      </c>
    </row>
    <row r="22" spans="2:10">
      <c r="B22" s="194" t="s">
        <v>89</v>
      </c>
      <c r="C22" s="192" t="s">
        <v>90</v>
      </c>
      <c r="D22" t="s">
        <v>91</v>
      </c>
    </row>
    <row r="23" spans="2:10">
      <c r="B23" t="s">
        <v>92</v>
      </c>
      <c r="C23" s="192" t="s">
        <v>90</v>
      </c>
      <c r="D23" t="s">
        <v>93</v>
      </c>
    </row>
    <row r="24" spans="2:10">
      <c r="B24" t="s">
        <v>94</v>
      </c>
      <c r="C24" s="192" t="s">
        <v>95</v>
      </c>
      <c r="D24" t="s">
        <v>96</v>
      </c>
    </row>
    <row r="25" spans="2:10">
      <c r="B25" s="199" t="s">
        <v>143</v>
      </c>
      <c r="C25" s="200"/>
      <c r="D25" s="200"/>
      <c r="E25" s="201"/>
      <c r="G25" s="199" t="s">
        <v>143</v>
      </c>
      <c r="H25" s="200"/>
      <c r="I25" s="200"/>
      <c r="J25" s="201"/>
    </row>
    <row r="26" spans="2:10">
      <c r="B26" s="181" t="s">
        <v>148</v>
      </c>
      <c r="C26" s="198" t="s">
        <v>149</v>
      </c>
      <c r="D26" s="181" t="s">
        <v>150</v>
      </c>
      <c r="G26" t="s">
        <v>163</v>
      </c>
      <c r="H26" t="s">
        <v>164</v>
      </c>
    </row>
    <row r="27" spans="2:10">
      <c r="B27" s="181">
        <v>0</v>
      </c>
      <c r="C27" s="181">
        <v>729</v>
      </c>
      <c r="D27" s="181">
        <v>2</v>
      </c>
      <c r="G27" s="184">
        <f t="shared" ref="G27:G58" si="0">SIN(B27)</f>
        <v>0</v>
      </c>
      <c r="H27" s="184">
        <f t="shared" ref="H27:H58" si="1">COS(B27)</f>
        <v>1</v>
      </c>
    </row>
    <row r="28" spans="2:10">
      <c r="B28" s="181">
        <v>1</v>
      </c>
      <c r="C28" s="181">
        <v>784</v>
      </c>
      <c r="D28" s="181">
        <v>3</v>
      </c>
      <c r="G28" s="184">
        <f t="shared" si="0"/>
        <v>0.8414709848078965</v>
      </c>
      <c r="H28" s="184">
        <f t="shared" si="1"/>
        <v>0.54030230586813977</v>
      </c>
    </row>
    <row r="29" spans="2:10">
      <c r="B29" s="181">
        <v>2</v>
      </c>
      <c r="C29" s="181">
        <v>841</v>
      </c>
      <c r="D29" s="181">
        <v>4</v>
      </c>
      <c r="G29" s="184">
        <f t="shared" si="0"/>
        <v>0.90929742682568171</v>
      </c>
      <c r="H29" s="184">
        <f t="shared" si="1"/>
        <v>-0.41614683654714241</v>
      </c>
    </row>
    <row r="30" spans="2:10">
      <c r="B30" s="181">
        <v>3</v>
      </c>
      <c r="C30" s="181">
        <v>900</v>
      </c>
      <c r="D30" s="181">
        <v>0</v>
      </c>
      <c r="G30" s="184">
        <f t="shared" si="0"/>
        <v>0.14112000805986721</v>
      </c>
      <c r="H30" s="184">
        <f t="shared" si="1"/>
        <v>-0.98999249660044542</v>
      </c>
    </row>
    <row r="31" spans="2:10">
      <c r="B31" s="181">
        <v>4</v>
      </c>
      <c r="C31" s="181">
        <v>961</v>
      </c>
      <c r="D31" s="181">
        <v>1</v>
      </c>
      <c r="G31" s="184">
        <f t="shared" si="0"/>
        <v>-0.7568024953079282</v>
      </c>
      <c r="H31" s="184">
        <f t="shared" si="1"/>
        <v>-0.65364362086361194</v>
      </c>
    </row>
    <row r="32" spans="2:10">
      <c r="B32" s="181">
        <v>5</v>
      </c>
      <c r="C32" s="181">
        <v>1024</v>
      </c>
      <c r="D32" s="181">
        <v>2</v>
      </c>
      <c r="G32" s="184">
        <f t="shared" si="0"/>
        <v>-0.95892427466313845</v>
      </c>
      <c r="H32" s="184">
        <f t="shared" si="1"/>
        <v>0.28366218546322625</v>
      </c>
    </row>
    <row r="33" spans="2:8">
      <c r="B33" s="181">
        <v>6</v>
      </c>
      <c r="C33" s="181">
        <v>1089</v>
      </c>
      <c r="D33" s="181">
        <v>3</v>
      </c>
      <c r="G33" s="184">
        <f t="shared" si="0"/>
        <v>-0.27941549819892586</v>
      </c>
      <c r="H33" s="184">
        <f t="shared" si="1"/>
        <v>0.96017028665036597</v>
      </c>
    </row>
    <row r="34" spans="2:8">
      <c r="B34" s="181">
        <v>7</v>
      </c>
      <c r="C34" s="181">
        <v>1156</v>
      </c>
      <c r="D34" s="181">
        <v>4</v>
      </c>
      <c r="G34" s="184">
        <f t="shared" si="0"/>
        <v>0.65698659871878906</v>
      </c>
      <c r="H34" s="184">
        <f t="shared" si="1"/>
        <v>0.7539022543433046</v>
      </c>
    </row>
    <row r="35" spans="2:8">
      <c r="B35" s="181">
        <v>8</v>
      </c>
      <c r="C35" s="181">
        <v>1225</v>
      </c>
      <c r="D35" s="181">
        <v>0</v>
      </c>
      <c r="G35" s="184">
        <f t="shared" si="0"/>
        <v>0.98935824662338179</v>
      </c>
      <c r="H35" s="184">
        <f t="shared" si="1"/>
        <v>-0.14550003380861354</v>
      </c>
    </row>
    <row r="36" spans="2:8">
      <c r="B36" s="181">
        <v>9</v>
      </c>
      <c r="C36" s="181">
        <v>1296</v>
      </c>
      <c r="D36" s="181">
        <v>1</v>
      </c>
      <c r="G36" s="184">
        <f t="shared" si="0"/>
        <v>0.41211848524175659</v>
      </c>
      <c r="H36" s="184">
        <f t="shared" si="1"/>
        <v>-0.91113026188467694</v>
      </c>
    </row>
    <row r="37" spans="2:8">
      <c r="B37" s="181">
        <v>10</v>
      </c>
      <c r="C37" s="181">
        <v>1369</v>
      </c>
      <c r="D37" s="181">
        <v>2</v>
      </c>
      <c r="G37" s="184">
        <f t="shared" si="0"/>
        <v>-0.54402111088936977</v>
      </c>
      <c r="H37" s="184">
        <f t="shared" si="1"/>
        <v>-0.83907152907645244</v>
      </c>
    </row>
    <row r="38" spans="2:8">
      <c r="B38" s="181">
        <v>11</v>
      </c>
      <c r="C38" s="181">
        <v>1444</v>
      </c>
      <c r="D38" s="181">
        <v>3</v>
      </c>
      <c r="G38" s="184">
        <f t="shared" si="0"/>
        <v>-0.99999020655070348</v>
      </c>
      <c r="H38" s="184">
        <f t="shared" si="1"/>
        <v>4.4256979880507854E-3</v>
      </c>
    </row>
    <row r="39" spans="2:8">
      <c r="B39" s="181">
        <v>12</v>
      </c>
      <c r="C39" s="181">
        <v>1521</v>
      </c>
      <c r="D39" s="181">
        <v>4</v>
      </c>
      <c r="G39" s="184">
        <f t="shared" si="0"/>
        <v>-0.53657291800043494</v>
      </c>
      <c r="H39" s="184">
        <f t="shared" si="1"/>
        <v>0.84385395873249214</v>
      </c>
    </row>
    <row r="40" spans="2:8">
      <c r="B40" s="181">
        <v>13</v>
      </c>
      <c r="C40" s="181">
        <v>1600</v>
      </c>
      <c r="D40" s="181">
        <v>0</v>
      </c>
      <c r="G40" s="184">
        <f t="shared" si="0"/>
        <v>0.42016703682664092</v>
      </c>
      <c r="H40" s="184">
        <f t="shared" si="1"/>
        <v>0.90744678145019619</v>
      </c>
    </row>
    <row r="41" spans="2:8">
      <c r="B41" s="181">
        <v>14</v>
      </c>
      <c r="C41" s="181">
        <v>1681</v>
      </c>
      <c r="D41" s="181">
        <v>1</v>
      </c>
      <c r="G41" s="184">
        <f t="shared" si="0"/>
        <v>0.99060735569487035</v>
      </c>
      <c r="H41" s="184">
        <f t="shared" si="1"/>
        <v>0.13673721820783361</v>
      </c>
    </row>
    <row r="42" spans="2:8">
      <c r="B42" s="181">
        <v>15</v>
      </c>
      <c r="C42" s="181">
        <v>1764</v>
      </c>
      <c r="D42" s="181">
        <v>2</v>
      </c>
      <c r="G42" s="184">
        <f t="shared" si="0"/>
        <v>0.65028784015711683</v>
      </c>
      <c r="H42" s="184">
        <f t="shared" si="1"/>
        <v>-0.75968791285882131</v>
      </c>
    </row>
    <row r="43" spans="2:8">
      <c r="B43" s="181">
        <v>16</v>
      </c>
      <c r="C43" s="181">
        <v>1849</v>
      </c>
      <c r="D43" s="181">
        <v>3</v>
      </c>
      <c r="G43" s="184">
        <f t="shared" si="0"/>
        <v>-0.2879033166650653</v>
      </c>
      <c r="H43" s="184">
        <f t="shared" si="1"/>
        <v>-0.95765948032338466</v>
      </c>
    </row>
    <row r="44" spans="2:8">
      <c r="B44" s="181">
        <v>17</v>
      </c>
      <c r="C44" s="181">
        <v>1936</v>
      </c>
      <c r="D44" s="181">
        <v>4</v>
      </c>
      <c r="G44" s="184">
        <f t="shared" si="0"/>
        <v>-0.96139749187955681</v>
      </c>
      <c r="H44" s="184">
        <f t="shared" si="1"/>
        <v>-0.27516333805159693</v>
      </c>
    </row>
    <row r="45" spans="2:8">
      <c r="B45" s="181">
        <v>18</v>
      </c>
      <c r="C45" s="181">
        <v>2025</v>
      </c>
      <c r="D45" s="181">
        <v>0</v>
      </c>
      <c r="G45" s="184">
        <f t="shared" si="0"/>
        <v>-0.75098724677167605</v>
      </c>
      <c r="H45" s="184">
        <f t="shared" si="1"/>
        <v>0.66031670824408017</v>
      </c>
    </row>
    <row r="46" spans="2:8">
      <c r="B46" s="181">
        <v>19</v>
      </c>
      <c r="C46" s="181">
        <v>2116</v>
      </c>
      <c r="D46" s="181">
        <v>1</v>
      </c>
      <c r="G46" s="184">
        <f t="shared" si="0"/>
        <v>0.14987720966295234</v>
      </c>
      <c r="H46" s="184">
        <f t="shared" si="1"/>
        <v>0.98870461818666922</v>
      </c>
    </row>
    <row r="47" spans="2:8">
      <c r="B47" s="181">
        <v>20</v>
      </c>
      <c r="C47" s="181">
        <v>2209</v>
      </c>
      <c r="D47" s="181">
        <v>2</v>
      </c>
      <c r="G47" s="184">
        <f t="shared" si="0"/>
        <v>0.91294525072762767</v>
      </c>
      <c r="H47" s="184">
        <f t="shared" si="1"/>
        <v>0.40808206181339196</v>
      </c>
    </row>
    <row r="48" spans="2:8">
      <c r="B48" s="181">
        <v>21</v>
      </c>
      <c r="C48" s="181">
        <v>2304</v>
      </c>
      <c r="D48" s="181">
        <v>3</v>
      </c>
      <c r="G48" s="184">
        <f t="shared" si="0"/>
        <v>0.83665563853605607</v>
      </c>
      <c r="H48" s="184">
        <f t="shared" si="1"/>
        <v>-0.54772926022426838</v>
      </c>
    </row>
    <row r="49" spans="2:8">
      <c r="B49" s="181">
        <v>22</v>
      </c>
      <c r="C49" s="181">
        <v>2401</v>
      </c>
      <c r="D49" s="181">
        <v>4</v>
      </c>
      <c r="G49" s="184">
        <f t="shared" si="0"/>
        <v>-8.8513092904038762E-3</v>
      </c>
      <c r="H49" s="184">
        <f t="shared" si="1"/>
        <v>-0.99996082639463713</v>
      </c>
    </row>
    <row r="50" spans="2:8">
      <c r="B50" s="181">
        <v>23</v>
      </c>
      <c r="C50" s="181">
        <v>2500</v>
      </c>
      <c r="D50" s="181">
        <v>0</v>
      </c>
      <c r="G50" s="184">
        <f t="shared" si="0"/>
        <v>-0.84622040417517064</v>
      </c>
      <c r="H50" s="184">
        <f t="shared" si="1"/>
        <v>-0.53283302033339752</v>
      </c>
    </row>
    <row r="51" spans="2:8">
      <c r="B51" s="181">
        <v>24</v>
      </c>
      <c r="C51" s="181">
        <v>2601</v>
      </c>
      <c r="D51" s="181">
        <v>1</v>
      </c>
      <c r="G51" s="184">
        <f t="shared" si="0"/>
        <v>-0.90557836200662389</v>
      </c>
      <c r="H51" s="184">
        <f t="shared" si="1"/>
        <v>0.42417900733699698</v>
      </c>
    </row>
    <row r="52" spans="2:8">
      <c r="B52" s="181">
        <v>25</v>
      </c>
      <c r="C52" s="181">
        <v>2704</v>
      </c>
      <c r="D52" s="181">
        <v>2</v>
      </c>
      <c r="G52" s="184">
        <f t="shared" si="0"/>
        <v>-0.13235175009777303</v>
      </c>
      <c r="H52" s="184">
        <f t="shared" si="1"/>
        <v>0.99120281186347359</v>
      </c>
    </row>
    <row r="53" spans="2:8">
      <c r="B53" s="181">
        <v>26</v>
      </c>
      <c r="C53" s="181">
        <v>2809</v>
      </c>
      <c r="D53" s="181">
        <v>3</v>
      </c>
      <c r="G53" s="184">
        <f t="shared" si="0"/>
        <v>0.76255845047960269</v>
      </c>
      <c r="H53" s="184">
        <f t="shared" si="1"/>
        <v>0.64691932232864036</v>
      </c>
    </row>
    <row r="54" spans="2:8">
      <c r="B54" s="181">
        <v>27</v>
      </c>
      <c r="C54" s="181">
        <v>2916</v>
      </c>
      <c r="D54" s="181">
        <v>4</v>
      </c>
      <c r="G54" s="184">
        <f t="shared" si="0"/>
        <v>0.95637592840450303</v>
      </c>
      <c r="H54" s="184">
        <f t="shared" si="1"/>
        <v>-0.29213880873383619</v>
      </c>
    </row>
    <row r="55" spans="2:8">
      <c r="B55" s="181">
        <v>28</v>
      </c>
      <c r="C55" s="181">
        <v>3025</v>
      </c>
      <c r="D55" s="181">
        <v>0</v>
      </c>
      <c r="G55" s="184">
        <f t="shared" si="0"/>
        <v>0.27090578830786904</v>
      </c>
      <c r="H55" s="184">
        <f t="shared" si="1"/>
        <v>-0.96260586631356659</v>
      </c>
    </row>
    <row r="56" spans="2:8">
      <c r="B56" s="181">
        <v>29</v>
      </c>
      <c r="C56" s="181">
        <v>3136</v>
      </c>
      <c r="D56" s="181">
        <v>1</v>
      </c>
      <c r="G56" s="184">
        <f t="shared" si="0"/>
        <v>-0.66363388421296754</v>
      </c>
      <c r="H56" s="184">
        <f t="shared" si="1"/>
        <v>-0.7480575296890003</v>
      </c>
    </row>
    <row r="57" spans="2:8">
      <c r="B57" s="181">
        <v>30</v>
      </c>
      <c r="C57" s="181">
        <v>3249</v>
      </c>
      <c r="D57" s="181">
        <v>2</v>
      </c>
      <c r="G57" s="184">
        <f t="shared" si="0"/>
        <v>-0.98803162409286183</v>
      </c>
      <c r="H57" s="184">
        <f t="shared" si="1"/>
        <v>0.15425144988758405</v>
      </c>
    </row>
    <row r="58" spans="2:8">
      <c r="B58" s="181">
        <v>31</v>
      </c>
      <c r="C58" s="181">
        <v>3364</v>
      </c>
      <c r="D58" s="181">
        <v>3</v>
      </c>
      <c r="G58" s="184">
        <f t="shared" si="0"/>
        <v>-0.40403764532306502</v>
      </c>
      <c r="H58" s="184">
        <f t="shared" si="1"/>
        <v>0.91474235780453128</v>
      </c>
    </row>
    <row r="59" spans="2:8">
      <c r="B59" s="181">
        <v>32</v>
      </c>
      <c r="C59" s="181">
        <v>3481</v>
      </c>
      <c r="D59" s="181">
        <v>4</v>
      </c>
      <c r="G59" s="184">
        <f t="shared" ref="G59:G90" si="2">SIN(B59)</f>
        <v>0.55142668124169059</v>
      </c>
      <c r="H59" s="184">
        <f t="shared" ref="H59:H90" si="3">COS(B59)</f>
        <v>0.83422336050651025</v>
      </c>
    </row>
    <row r="60" spans="2:8">
      <c r="B60" s="181">
        <v>33</v>
      </c>
      <c r="C60" s="181">
        <v>3600</v>
      </c>
      <c r="D60" s="181">
        <v>0</v>
      </c>
      <c r="G60" s="184">
        <f t="shared" si="2"/>
        <v>0.99991186010726718</v>
      </c>
      <c r="H60" s="184">
        <f t="shared" si="3"/>
        <v>-1.3276747223059479E-2</v>
      </c>
    </row>
    <row r="61" spans="2:8">
      <c r="B61" s="181">
        <v>34</v>
      </c>
      <c r="C61" s="181">
        <v>3721</v>
      </c>
      <c r="D61" s="181">
        <v>1</v>
      </c>
      <c r="G61" s="184">
        <f t="shared" si="2"/>
        <v>0.52908268612002385</v>
      </c>
      <c r="H61" s="184">
        <f t="shared" si="3"/>
        <v>-0.84857027478460523</v>
      </c>
    </row>
    <row r="62" spans="2:8">
      <c r="B62" s="181">
        <v>35</v>
      </c>
      <c r="C62" s="181">
        <v>3844</v>
      </c>
      <c r="D62" s="181">
        <v>2</v>
      </c>
      <c r="G62" s="184">
        <f t="shared" si="2"/>
        <v>-0.42818266949615102</v>
      </c>
      <c r="H62" s="184">
        <f t="shared" si="3"/>
        <v>-0.90369220509150672</v>
      </c>
    </row>
    <row r="63" spans="2:8">
      <c r="B63" s="181">
        <v>36</v>
      </c>
      <c r="C63" s="181">
        <v>3969</v>
      </c>
      <c r="D63" s="181">
        <v>3</v>
      </c>
      <c r="G63" s="184">
        <f t="shared" si="2"/>
        <v>-0.99177885344311578</v>
      </c>
      <c r="H63" s="184">
        <f t="shared" si="3"/>
        <v>-0.12796368962740468</v>
      </c>
    </row>
    <row r="64" spans="2:8">
      <c r="B64" s="181">
        <v>37</v>
      </c>
      <c r="C64" s="181">
        <v>4096</v>
      </c>
      <c r="D64" s="181">
        <v>4</v>
      </c>
      <c r="G64" s="184">
        <f t="shared" si="2"/>
        <v>-0.6435381333569995</v>
      </c>
      <c r="H64" s="184">
        <f t="shared" si="3"/>
        <v>0.7654140519453434</v>
      </c>
    </row>
    <row r="65" spans="2:8">
      <c r="B65" s="181">
        <v>38</v>
      </c>
      <c r="C65" s="181">
        <v>4225</v>
      </c>
      <c r="D65" s="181">
        <v>0</v>
      </c>
      <c r="G65" s="184">
        <f t="shared" si="2"/>
        <v>0.29636857870938532</v>
      </c>
      <c r="H65" s="184">
        <f t="shared" si="3"/>
        <v>0.95507364404729489</v>
      </c>
    </row>
    <row r="66" spans="2:8">
      <c r="B66" s="181">
        <v>39</v>
      </c>
      <c r="C66" s="181">
        <v>4356</v>
      </c>
      <c r="D66" s="181">
        <v>1</v>
      </c>
      <c r="G66" s="184">
        <f t="shared" si="2"/>
        <v>0.96379538628408779</v>
      </c>
      <c r="H66" s="184">
        <f t="shared" si="3"/>
        <v>0.26664293235993725</v>
      </c>
    </row>
    <row r="67" spans="2:8">
      <c r="B67" s="181">
        <v>40</v>
      </c>
      <c r="C67" s="181">
        <v>4489</v>
      </c>
      <c r="D67" s="181">
        <v>2</v>
      </c>
      <c r="G67" s="184">
        <f t="shared" si="2"/>
        <v>0.74511316047934883</v>
      </c>
      <c r="H67" s="184">
        <f t="shared" si="3"/>
        <v>-0.66693806165226188</v>
      </c>
    </row>
    <row r="68" spans="2:8">
      <c r="B68" s="181">
        <v>41</v>
      </c>
      <c r="C68" s="181">
        <v>4624</v>
      </c>
      <c r="D68" s="181">
        <v>3</v>
      </c>
      <c r="G68" s="184">
        <f t="shared" si="2"/>
        <v>-0.15862266880470899</v>
      </c>
      <c r="H68" s="184">
        <f t="shared" si="3"/>
        <v>-0.98733927752382644</v>
      </c>
    </row>
    <row r="69" spans="2:8">
      <c r="B69" s="181">
        <v>42</v>
      </c>
      <c r="C69" s="181">
        <v>4761</v>
      </c>
      <c r="D69" s="181">
        <v>4</v>
      </c>
      <c r="G69" s="184">
        <f t="shared" si="2"/>
        <v>-0.91652154791563378</v>
      </c>
      <c r="H69" s="184">
        <f t="shared" si="3"/>
        <v>-0.39998531498835127</v>
      </c>
    </row>
    <row r="70" spans="2:8">
      <c r="B70" s="181">
        <v>43</v>
      </c>
      <c r="C70" s="181">
        <v>4900</v>
      </c>
      <c r="D70" s="181">
        <v>0</v>
      </c>
      <c r="G70" s="184">
        <f t="shared" si="2"/>
        <v>-0.8317747426285983</v>
      </c>
      <c r="H70" s="184">
        <f t="shared" si="3"/>
        <v>0.55511330152062566</v>
      </c>
    </row>
    <row r="71" spans="2:8">
      <c r="B71" s="181">
        <v>44</v>
      </c>
      <c r="C71" s="181">
        <v>5041</v>
      </c>
      <c r="D71" s="181">
        <v>1</v>
      </c>
      <c r="G71" s="184">
        <f t="shared" si="2"/>
        <v>1.7701925105413577E-2</v>
      </c>
      <c r="H71" s="184">
        <f t="shared" si="3"/>
        <v>0.99984330864769122</v>
      </c>
    </row>
    <row r="72" spans="2:8">
      <c r="B72" s="181">
        <v>45</v>
      </c>
      <c r="C72" s="181">
        <v>5184</v>
      </c>
      <c r="D72" s="181">
        <v>2</v>
      </c>
      <c r="G72" s="184">
        <f t="shared" si="2"/>
        <v>0.85090352453411844</v>
      </c>
      <c r="H72" s="184">
        <f t="shared" si="3"/>
        <v>0.52532198881772973</v>
      </c>
    </row>
    <row r="73" spans="2:8">
      <c r="B73" s="181">
        <v>46</v>
      </c>
      <c r="C73" s="181">
        <v>5329</v>
      </c>
      <c r="D73" s="181">
        <v>3</v>
      </c>
      <c r="G73" s="184">
        <f t="shared" si="2"/>
        <v>0.90178834764880922</v>
      </c>
      <c r="H73" s="184">
        <f t="shared" si="3"/>
        <v>-0.43217794488477829</v>
      </c>
    </row>
    <row r="74" spans="2:8">
      <c r="B74" s="181">
        <v>47</v>
      </c>
      <c r="C74" s="181">
        <v>5476</v>
      </c>
      <c r="D74" s="181">
        <v>4</v>
      </c>
      <c r="G74" s="184">
        <f t="shared" si="2"/>
        <v>0.123573122745224</v>
      </c>
      <c r="H74" s="184">
        <f t="shared" si="3"/>
        <v>-0.99233546915092874</v>
      </c>
    </row>
    <row r="75" spans="2:8">
      <c r="B75" s="181">
        <v>48</v>
      </c>
      <c r="C75" s="181">
        <v>5625</v>
      </c>
      <c r="D75" s="181">
        <v>0</v>
      </c>
      <c r="G75" s="184">
        <f t="shared" si="2"/>
        <v>-0.76825466132366682</v>
      </c>
      <c r="H75" s="184">
        <f t="shared" si="3"/>
        <v>-0.64014433946919969</v>
      </c>
    </row>
    <row r="76" spans="2:8">
      <c r="B76" s="181">
        <v>49</v>
      </c>
      <c r="C76" s="181">
        <v>5776</v>
      </c>
      <c r="D76" s="181">
        <v>1</v>
      </c>
      <c r="G76" s="184">
        <f t="shared" si="2"/>
        <v>-0.95375265275947185</v>
      </c>
      <c r="H76" s="184">
        <f t="shared" si="3"/>
        <v>0.30059254374363709</v>
      </c>
    </row>
    <row r="77" spans="2:8">
      <c r="B77" s="181">
        <v>50</v>
      </c>
      <c r="C77" s="181">
        <v>5929</v>
      </c>
      <c r="D77" s="181">
        <v>2</v>
      </c>
      <c r="G77" s="184">
        <f t="shared" si="2"/>
        <v>-0.26237485370392877</v>
      </c>
      <c r="H77" s="184">
        <f t="shared" si="3"/>
        <v>0.96496602849211333</v>
      </c>
    </row>
    <row r="78" spans="2:8">
      <c r="B78" s="181">
        <v>51</v>
      </c>
      <c r="C78" s="181">
        <v>6084</v>
      </c>
      <c r="D78" s="181">
        <v>3</v>
      </c>
      <c r="G78" s="184">
        <f t="shared" si="2"/>
        <v>0.67022917584337471</v>
      </c>
      <c r="H78" s="184">
        <f t="shared" si="3"/>
        <v>0.74215419681378259</v>
      </c>
    </row>
    <row r="79" spans="2:8">
      <c r="B79" s="181">
        <v>52</v>
      </c>
      <c r="C79" s="181">
        <v>6241</v>
      </c>
      <c r="D79" s="181">
        <v>4</v>
      </c>
      <c r="G79" s="184">
        <f t="shared" si="2"/>
        <v>0.98662759204048534</v>
      </c>
      <c r="H79" s="184">
        <f t="shared" si="3"/>
        <v>-0.16299078079570548</v>
      </c>
    </row>
    <row r="80" spans="2:8">
      <c r="B80" s="181">
        <v>53</v>
      </c>
      <c r="C80" s="181">
        <v>6400</v>
      </c>
      <c r="D80" s="181">
        <v>0</v>
      </c>
      <c r="G80" s="184">
        <f t="shared" si="2"/>
        <v>0.39592515018183416</v>
      </c>
      <c r="H80" s="184">
        <f t="shared" si="3"/>
        <v>-0.9182827862121189</v>
      </c>
    </row>
    <row r="81" spans="2:8">
      <c r="B81" s="181">
        <v>54</v>
      </c>
      <c r="C81" s="181">
        <v>6561</v>
      </c>
      <c r="D81" s="181">
        <v>1</v>
      </c>
      <c r="G81" s="184">
        <f t="shared" si="2"/>
        <v>-0.55878904885161629</v>
      </c>
      <c r="H81" s="184">
        <f t="shared" si="3"/>
        <v>-0.82930983286315019</v>
      </c>
    </row>
    <row r="82" spans="2:8">
      <c r="B82" s="181">
        <v>55</v>
      </c>
      <c r="C82" s="181">
        <v>6724</v>
      </c>
      <c r="D82" s="181">
        <v>2</v>
      </c>
      <c r="G82" s="184">
        <f t="shared" si="2"/>
        <v>-0.99975517335861985</v>
      </c>
      <c r="H82" s="184">
        <f t="shared" si="3"/>
        <v>2.2126756261955732E-2</v>
      </c>
    </row>
    <row r="83" spans="2:8">
      <c r="B83" s="181">
        <v>56</v>
      </c>
      <c r="C83" s="181">
        <v>6889</v>
      </c>
      <c r="D83" s="181">
        <v>3</v>
      </c>
      <c r="G83" s="184">
        <f t="shared" si="2"/>
        <v>-0.52155100208691185</v>
      </c>
      <c r="H83" s="184">
        <f t="shared" si="3"/>
        <v>0.85322010772258416</v>
      </c>
    </row>
    <row r="84" spans="2:8">
      <c r="B84" s="181">
        <v>57</v>
      </c>
      <c r="C84" s="181">
        <v>7056</v>
      </c>
      <c r="D84" s="181">
        <v>4</v>
      </c>
      <c r="G84" s="184">
        <f t="shared" si="2"/>
        <v>0.43616475524782494</v>
      </c>
      <c r="H84" s="184">
        <f t="shared" si="3"/>
        <v>0.89986682696919373</v>
      </c>
    </row>
    <row r="85" spans="2:8">
      <c r="B85" s="181">
        <v>58</v>
      </c>
      <c r="C85" s="181">
        <v>7225</v>
      </c>
      <c r="D85" s="181">
        <v>0</v>
      </c>
      <c r="G85" s="184">
        <f t="shared" si="2"/>
        <v>0.99287264808453712</v>
      </c>
      <c r="H85" s="184">
        <f t="shared" si="3"/>
        <v>0.11918013544881928</v>
      </c>
    </row>
    <row r="86" spans="2:8">
      <c r="B86" s="181">
        <v>59</v>
      </c>
      <c r="C86" s="181">
        <v>7396</v>
      </c>
      <c r="D86" s="181">
        <v>1</v>
      </c>
      <c r="G86" s="184">
        <f t="shared" si="2"/>
        <v>0.63673800713913786</v>
      </c>
      <c r="H86" s="184">
        <f t="shared" si="3"/>
        <v>-0.77108022297584522</v>
      </c>
    </row>
    <row r="87" spans="2:8">
      <c r="B87" s="181">
        <v>60</v>
      </c>
      <c r="C87" s="181">
        <v>7569</v>
      </c>
      <c r="D87" s="181">
        <v>2</v>
      </c>
      <c r="G87" s="184">
        <f t="shared" si="2"/>
        <v>-0.30481062110221668</v>
      </c>
      <c r="H87" s="184">
        <f t="shared" si="3"/>
        <v>-0.95241298041515632</v>
      </c>
    </row>
    <row r="88" spans="2:8">
      <c r="B88" s="181">
        <v>61</v>
      </c>
      <c r="C88" s="181">
        <v>7744</v>
      </c>
      <c r="D88" s="181">
        <v>3</v>
      </c>
      <c r="G88" s="184">
        <f t="shared" si="2"/>
        <v>-0.96611777000839294</v>
      </c>
      <c r="H88" s="184">
        <f t="shared" si="3"/>
        <v>-0.25810163593826746</v>
      </c>
    </row>
    <row r="89" spans="2:8">
      <c r="B89" s="181">
        <v>62</v>
      </c>
      <c r="C89" s="181">
        <v>7921</v>
      </c>
      <c r="D89" s="181">
        <v>4</v>
      </c>
      <c r="G89" s="184">
        <f t="shared" si="2"/>
        <v>-0.73918069664922281</v>
      </c>
      <c r="H89" s="184">
        <f t="shared" si="3"/>
        <v>0.67350716232358621</v>
      </c>
    </row>
    <row r="90" spans="2:8">
      <c r="B90" s="181">
        <v>63</v>
      </c>
      <c r="C90" s="181">
        <v>8100</v>
      </c>
      <c r="D90" s="181">
        <v>0</v>
      </c>
      <c r="G90" s="184">
        <f t="shared" si="2"/>
        <v>0.16735570030280691</v>
      </c>
      <c r="H90" s="184">
        <f t="shared" si="3"/>
        <v>0.98589658158254967</v>
      </c>
    </row>
    <row r="91" spans="2:8">
      <c r="B91" s="181">
        <v>64</v>
      </c>
      <c r="C91" s="181">
        <v>8281</v>
      </c>
      <c r="D91" s="181">
        <v>1</v>
      </c>
      <c r="G91" s="184">
        <f t="shared" ref="G91:G100" si="4">SIN(B91)</f>
        <v>0.92002603819679063</v>
      </c>
      <c r="H91" s="184">
        <f t="shared" ref="H91:H100" si="5">COS(B91)</f>
        <v>0.39185723042955001</v>
      </c>
    </row>
    <row r="92" spans="2:8">
      <c r="B92" s="181">
        <v>65</v>
      </c>
      <c r="C92" s="181">
        <v>8464</v>
      </c>
      <c r="D92" s="181">
        <v>2</v>
      </c>
      <c r="G92" s="184">
        <f t="shared" si="4"/>
        <v>0.82682867949010341</v>
      </c>
      <c r="H92" s="184">
        <f t="shared" si="5"/>
        <v>-0.56245385123817204</v>
      </c>
    </row>
    <row r="93" spans="2:8">
      <c r="B93" s="181">
        <v>66</v>
      </c>
      <c r="C93" s="181">
        <v>8649</v>
      </c>
      <c r="D93" s="181">
        <v>3</v>
      </c>
      <c r="G93" s="184">
        <f t="shared" si="4"/>
        <v>-2.6551154023966794E-2</v>
      </c>
      <c r="H93" s="184">
        <f t="shared" si="5"/>
        <v>-0.99964745596634996</v>
      </c>
    </row>
    <row r="94" spans="2:8">
      <c r="B94" s="181">
        <v>67</v>
      </c>
      <c r="C94" s="181">
        <v>8836</v>
      </c>
      <c r="D94" s="181">
        <v>4</v>
      </c>
      <c r="G94" s="184">
        <f t="shared" si="4"/>
        <v>-0.85551997897532228</v>
      </c>
      <c r="H94" s="184">
        <f t="shared" si="5"/>
        <v>-0.5177697997895051</v>
      </c>
    </row>
    <row r="95" spans="2:8">
      <c r="B95" s="181">
        <v>68</v>
      </c>
      <c r="C95" s="181">
        <v>9025</v>
      </c>
      <c r="D95" s="181">
        <v>0</v>
      </c>
      <c r="G95" s="184">
        <f t="shared" si="4"/>
        <v>-0.8979276806892913</v>
      </c>
      <c r="H95" s="184">
        <f t="shared" si="5"/>
        <v>0.4401430224960407</v>
      </c>
    </row>
    <row r="96" spans="2:8">
      <c r="B96" s="181">
        <v>69</v>
      </c>
      <c r="C96" s="181">
        <v>9216</v>
      </c>
      <c r="D96" s="181">
        <v>1</v>
      </c>
      <c r="G96" s="184">
        <f t="shared" si="4"/>
        <v>-0.11478481378318722</v>
      </c>
      <c r="H96" s="184">
        <f t="shared" si="5"/>
        <v>0.99339037972227162</v>
      </c>
    </row>
    <row r="97" spans="2:8">
      <c r="B97" s="181">
        <v>70</v>
      </c>
      <c r="C97" s="181">
        <v>9409</v>
      </c>
      <c r="D97" s="181">
        <v>2</v>
      </c>
      <c r="G97" s="184">
        <f t="shared" si="4"/>
        <v>0.77389068155788909</v>
      </c>
      <c r="H97" s="184">
        <f t="shared" si="5"/>
        <v>0.63331920308629985</v>
      </c>
    </row>
    <row r="98" spans="2:8">
      <c r="B98" s="181">
        <v>71</v>
      </c>
      <c r="C98" s="181">
        <v>9604</v>
      </c>
      <c r="D98" s="181">
        <v>3</v>
      </c>
      <c r="G98" s="184">
        <f t="shared" si="4"/>
        <v>0.95105465325437466</v>
      </c>
      <c r="H98" s="184">
        <f t="shared" si="5"/>
        <v>-0.30902272816607068</v>
      </c>
    </row>
    <row r="99" spans="2:8">
      <c r="B99" s="181">
        <v>72</v>
      </c>
      <c r="C99" s="181">
        <v>9801</v>
      </c>
      <c r="D99" s="181">
        <v>4</v>
      </c>
      <c r="G99" s="184">
        <f t="shared" si="4"/>
        <v>0.25382336276203626</v>
      </c>
      <c r="H99" s="184">
        <f t="shared" si="5"/>
        <v>-0.96725058827388244</v>
      </c>
    </row>
    <row r="100" spans="2:8">
      <c r="B100" s="181">
        <v>73</v>
      </c>
      <c r="C100" s="181">
        <v>10000</v>
      </c>
      <c r="D100" s="181">
        <v>0</v>
      </c>
      <c r="G100" s="184">
        <f t="shared" si="4"/>
        <v>-0.67677195688730762</v>
      </c>
      <c r="H100" s="184">
        <f t="shared" si="5"/>
        <v>-0.73619271822731591</v>
      </c>
    </row>
  </sheetData>
  <mergeCells count="7">
    <mergeCell ref="B2:E2"/>
    <mergeCell ref="B5:E5"/>
    <mergeCell ref="B3:E4"/>
    <mergeCell ref="B25:E25"/>
    <mergeCell ref="G2:J2"/>
    <mergeCell ref="G25:J25"/>
    <mergeCell ref="G3:J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1B190-E0AA-4B7B-A685-5913AF2E0B51}">
  <sheetPr codeName="Arkusz5"/>
  <dimension ref="B2:T113"/>
  <sheetViews>
    <sheetView showGridLines="0" tabSelected="1" zoomScale="115" zoomScaleNormal="115" workbookViewId="0">
      <selection activeCell="K18" sqref="K18"/>
    </sheetView>
  </sheetViews>
  <sheetFormatPr defaultRowHeight="15"/>
  <cols>
    <col min="2" max="2" width="20.140625" customWidth="1"/>
    <col min="3" max="4" width="17.140625" customWidth="1"/>
    <col min="5" max="5" width="29.7109375" bestFit="1" customWidth="1"/>
    <col min="7" max="7" width="11.85546875" bestFit="1" customWidth="1"/>
    <col min="8" max="8" width="12" bestFit="1" customWidth="1"/>
    <col min="9" max="10" width="30.28515625" customWidth="1"/>
    <col min="12" max="12" width="10" style="179" bestFit="1" customWidth="1"/>
    <col min="13" max="14" width="29.5703125" customWidth="1"/>
    <col min="17" max="17" width="10" style="179" bestFit="1" customWidth="1"/>
    <col min="18" max="19" width="29.5703125" customWidth="1"/>
  </cols>
  <sheetData>
    <row r="2" spans="2:20">
      <c r="B2" s="199" t="s">
        <v>97</v>
      </c>
      <c r="C2" s="200"/>
      <c r="D2" s="200"/>
      <c r="E2" s="201"/>
      <c r="G2" s="206" t="s">
        <v>52</v>
      </c>
      <c r="H2" s="207"/>
      <c r="I2" s="207"/>
      <c r="J2" s="208"/>
      <c r="L2" s="206" t="s">
        <v>54</v>
      </c>
      <c r="M2" s="207"/>
      <c r="N2" s="207"/>
      <c r="O2" s="208"/>
      <c r="Q2" s="206" t="s">
        <v>55</v>
      </c>
      <c r="R2" s="207"/>
      <c r="S2" s="207"/>
      <c r="T2" s="208"/>
    </row>
    <row r="3" spans="2:20" ht="15" customHeight="1">
      <c r="B3" s="209" t="s">
        <v>98</v>
      </c>
      <c r="C3" s="209"/>
      <c r="D3" s="209"/>
      <c r="E3" s="209"/>
    </row>
    <row r="4" spans="2:20">
      <c r="B4" s="210"/>
      <c r="C4" s="210"/>
      <c r="D4" s="210"/>
      <c r="E4" s="210"/>
    </row>
    <row r="5" spans="2:20">
      <c r="B5" s="210"/>
      <c r="C5" s="210"/>
      <c r="D5" s="210"/>
      <c r="E5" s="210"/>
    </row>
    <row r="6" spans="2:20">
      <c r="B6" s="210"/>
      <c r="C6" s="210"/>
      <c r="D6" s="210"/>
      <c r="E6" s="210"/>
    </row>
    <row r="8" spans="2:20" ht="15" customHeight="1">
      <c r="B8" s="202" t="s">
        <v>99</v>
      </c>
      <c r="C8" s="202"/>
      <c r="D8" s="202"/>
      <c r="E8" s="202"/>
    </row>
    <row r="9" spans="2:20">
      <c r="B9" s="202"/>
      <c r="C9" s="202"/>
      <c r="D9" s="202"/>
      <c r="E9" s="202"/>
    </row>
    <row r="10" spans="2:20">
      <c r="B10" s="202"/>
      <c r="C10" s="202"/>
      <c r="D10" s="202"/>
      <c r="E10" s="202"/>
    </row>
    <row r="12" spans="2:20">
      <c r="B12" s="182" t="s">
        <v>88</v>
      </c>
    </row>
    <row r="13" spans="2:20">
      <c r="B13" t="s">
        <v>100</v>
      </c>
      <c r="C13" s="192" t="s">
        <v>90</v>
      </c>
      <c r="D13" t="s">
        <v>101</v>
      </c>
    </row>
    <row r="14" spans="2:20">
      <c r="B14" t="s">
        <v>102</v>
      </c>
      <c r="C14" s="192" t="s">
        <v>95</v>
      </c>
      <c r="D14" t="s">
        <v>103</v>
      </c>
    </row>
    <row r="15" spans="2:20">
      <c r="B15" t="s">
        <v>104</v>
      </c>
      <c r="C15" s="192" t="s">
        <v>90</v>
      </c>
      <c r="D15" t="s">
        <v>105</v>
      </c>
    </row>
    <row r="17" spans="2:19">
      <c r="B17" s="182" t="s">
        <v>106</v>
      </c>
    </row>
    <row r="18" spans="2:19">
      <c r="B18" t="s">
        <v>107</v>
      </c>
      <c r="D18" s="194" t="s">
        <v>170</v>
      </c>
    </row>
    <row r="19" spans="2:19">
      <c r="C19" s="194"/>
    </row>
    <row r="20" spans="2:19">
      <c r="B20" s="182" t="s">
        <v>108</v>
      </c>
    </row>
    <row r="21" spans="2:19">
      <c r="B21" s="192" t="s">
        <v>109</v>
      </c>
      <c r="D21" s="194" t="s">
        <v>171</v>
      </c>
    </row>
    <row r="22" spans="2:19">
      <c r="B22" t="s">
        <v>110</v>
      </c>
    </row>
    <row r="24" spans="2:19">
      <c r="B24" t="s">
        <v>111</v>
      </c>
    </row>
    <row r="25" spans="2:19">
      <c r="B25" s="194" t="s">
        <v>112</v>
      </c>
      <c r="G25" s="206" t="s">
        <v>56</v>
      </c>
      <c r="H25" s="207"/>
      <c r="I25" s="207"/>
      <c r="J25" s="208"/>
      <c r="L25" s="206" t="s">
        <v>57</v>
      </c>
      <c r="M25" s="207"/>
      <c r="N25" s="208"/>
      <c r="Q25" s="206" t="s">
        <v>58</v>
      </c>
      <c r="R25" s="207"/>
      <c r="S25" s="208"/>
    </row>
    <row r="26" spans="2:19" ht="30">
      <c r="H26" s="178" t="s">
        <v>53</v>
      </c>
      <c r="I26" s="175">
        <v>6</v>
      </c>
      <c r="J26" s="175">
        <v>11</v>
      </c>
      <c r="M26" s="175">
        <v>6</v>
      </c>
      <c r="N26" s="175">
        <v>24</v>
      </c>
      <c r="R26" s="175">
        <v>6</v>
      </c>
      <c r="S26" s="175">
        <v>25</v>
      </c>
    </row>
    <row r="27" spans="2:19" s="173" customFormat="1" ht="60">
      <c r="G27" s="176" t="s">
        <v>51</v>
      </c>
      <c r="H27" s="177">
        <v>2</v>
      </c>
      <c r="I27" s="176" t="str">
        <f>INDEX(Dane_wykresy!$1:$1048576,7,Wykresy!$H27)</f>
        <v>Przeciętne miesięczne wynagrodzenie nominalne bruttoa w gospodarce narodowej</v>
      </c>
      <c r="J27" s="176" t="str">
        <f>INDEX(Dane_wykresy!$1:$1048576,Wykresy!J$26,Wykresy!$H27)</f>
        <v>Przeciętne miesięczne wynagrodzenie nominalne brutto  w sferze budżetowej</v>
      </c>
      <c r="L27" s="180" t="str">
        <f>$G27</f>
        <v>Data</v>
      </c>
      <c r="M27" s="176" t="str">
        <f>INDEX(Dane_wykresy!$1:$1048576,7,Wykresy!$H27)</f>
        <v>Przeciętne miesięczne wynagrodzenie nominalne bruttoa w gospodarce narodowej</v>
      </c>
      <c r="N27" s="176" t="str">
        <f>INDEX(Dane_wykresy!$1:$1048576,Wykresy!N$26,Wykresy!$H27)</f>
        <v>Przeciętne miesięczne wynagrodzenie nominalne brutto w budownictwieb</v>
      </c>
      <c r="Q27" s="180" t="str">
        <f>$G27</f>
        <v>Data</v>
      </c>
      <c r="R27" s="176" t="str">
        <f>INDEX(Dane_wykresy!$1:$1048576,7,Wykresy!$H27)</f>
        <v>Przeciętne miesięczne wynagrodzenie nominalne bruttoa w gospodarce narodowej</v>
      </c>
      <c r="S27" s="176" t="str">
        <f>INDEX(Dane_wykresy!$1:$1048576,Wykresy!S$26,Wykresy!$H27)</f>
        <v>Przeciętne miesięczne wynagrodzenie nominalne brutto w handlu; naprawie pojazdów samochodowych∆, b</v>
      </c>
    </row>
    <row r="28" spans="2:19">
      <c r="G28" s="179">
        <v>42005</v>
      </c>
      <c r="H28" s="175">
        <f>COLUMN(Dane_wykresy!BL3)</f>
        <v>64</v>
      </c>
      <c r="I28" s="174">
        <f>INDEX(Dane_wykresy!$1:$1048576,Wykresy!I$26,Wykresy!$H28)</f>
        <v>4054.89</v>
      </c>
      <c r="J28" s="174">
        <f>INDEX(Dane_wykresy!$1:$1048576,Wykresy!J$26,Wykresy!$H28)</f>
        <v>4920.47</v>
      </c>
      <c r="L28" s="180">
        <f t="shared" ref="L28:L51" si="0">$G28</f>
        <v>42005</v>
      </c>
      <c r="M28" s="174">
        <f>INDEX(Dane_wykresy!$1:$1048576,Wykresy!M$26,Wykresy!$H28)</f>
        <v>4054.89</v>
      </c>
      <c r="N28" s="174">
        <f>INDEX(Dane_wykresy!$1:$1048576,Wykresy!N$26,Wykresy!$H28)</f>
        <v>3899.01</v>
      </c>
      <c r="Q28" s="180">
        <f t="shared" ref="Q28:Q51" si="1">$G28</f>
        <v>42005</v>
      </c>
      <c r="R28" s="174">
        <f>INDEX(Dane_wykresy!$1:$1048576,Wykresy!R$26,Wykresy!$H28)</f>
        <v>4054.89</v>
      </c>
      <c r="S28" s="174">
        <f>INDEX(Dane_wykresy!$1:$1048576,Wykresy!S$26,Wykresy!$H28)</f>
        <v>3723.97</v>
      </c>
    </row>
    <row r="29" spans="2:19">
      <c r="G29" s="179">
        <v>42095</v>
      </c>
      <c r="H29" s="175">
        <f>H28+1</f>
        <v>65</v>
      </c>
      <c r="I29" s="174">
        <f>INDEX(Dane_wykresy!$1:$1048576,Wykresy!I$26,Wykresy!$H29)</f>
        <v>3854.88</v>
      </c>
      <c r="J29" s="174">
        <f>INDEX(Dane_wykresy!$1:$1048576,Wykresy!J$26,Wykresy!$H29)</f>
        <v>3840.74</v>
      </c>
      <c r="L29" s="180">
        <f t="shared" si="0"/>
        <v>42095</v>
      </c>
      <c r="M29" s="174">
        <f>INDEX(Dane_wykresy!$1:$1048576,Wykresy!M$26,Wykresy!$H29)</f>
        <v>3854.88</v>
      </c>
      <c r="N29" s="174">
        <f>INDEX(Dane_wykresy!$1:$1048576,Wykresy!N$26,Wykresy!$H29)</f>
        <v>4042.29</v>
      </c>
      <c r="Q29" s="180">
        <f t="shared" si="1"/>
        <v>42095</v>
      </c>
      <c r="R29" s="174">
        <f>INDEX(Dane_wykresy!$1:$1048576,Wykresy!R$26,Wykresy!$H29)</f>
        <v>3854.88</v>
      </c>
      <c r="S29" s="174">
        <f>INDEX(Dane_wykresy!$1:$1048576,Wykresy!S$26,Wykresy!$H29)</f>
        <v>3703.1</v>
      </c>
    </row>
    <row r="30" spans="2:19">
      <c r="G30" s="179">
        <v>42186</v>
      </c>
      <c r="H30" s="175">
        <f t="shared" ref="H30:H51" si="2">H29+1</f>
        <v>66</v>
      </c>
      <c r="I30" s="174">
        <f>INDEX(Dane_wykresy!$1:$1048576,Wykresy!I$26,Wykresy!$H30)</f>
        <v>3895.33</v>
      </c>
      <c r="J30" s="174">
        <f>INDEX(Dane_wykresy!$1:$1048576,Wykresy!J$26,Wykresy!$H30)</f>
        <v>3899.84</v>
      </c>
      <c r="L30" s="180">
        <f t="shared" si="0"/>
        <v>42186</v>
      </c>
      <c r="M30" s="174">
        <f>INDEX(Dane_wykresy!$1:$1048576,Wykresy!M$26,Wykresy!$H30)</f>
        <v>3895.33</v>
      </c>
      <c r="N30" s="174">
        <f>INDEX(Dane_wykresy!$1:$1048576,Wykresy!N$26,Wykresy!$H30)</f>
        <v>4111.21</v>
      </c>
      <c r="Q30" s="180">
        <f t="shared" si="1"/>
        <v>42186</v>
      </c>
      <c r="R30" s="174">
        <f>INDEX(Dane_wykresy!$1:$1048576,Wykresy!R$26,Wykresy!$H30)</f>
        <v>3895.33</v>
      </c>
      <c r="S30" s="174">
        <f>INDEX(Dane_wykresy!$1:$1048576,Wykresy!S$26,Wykresy!$H30)</f>
        <v>3677.22</v>
      </c>
    </row>
    <row r="31" spans="2:19">
      <c r="G31" s="179">
        <v>42278</v>
      </c>
      <c r="H31" s="175">
        <f t="shared" si="2"/>
        <v>67</v>
      </c>
      <c r="I31" s="174">
        <f>INDEX(Dane_wykresy!$1:$1048576,Wykresy!I$26,Wykresy!$H31)</f>
        <v>4066.95</v>
      </c>
      <c r="J31" s="174">
        <f>INDEX(Dane_wykresy!$1:$1048576,Wykresy!J$26,Wykresy!$H31)</f>
        <v>4169.68</v>
      </c>
      <c r="L31" s="180">
        <f t="shared" si="0"/>
        <v>42278</v>
      </c>
      <c r="M31" s="174">
        <f>INDEX(Dane_wykresy!$1:$1048576,Wykresy!M$26,Wykresy!$H31)</f>
        <v>4066.95</v>
      </c>
      <c r="N31" s="174">
        <f>INDEX(Dane_wykresy!$1:$1048576,Wykresy!N$26,Wykresy!$H31)</f>
        <v>4249.78</v>
      </c>
      <c r="Q31" s="180">
        <f t="shared" si="1"/>
        <v>42278</v>
      </c>
      <c r="R31" s="174">
        <f>INDEX(Dane_wykresy!$1:$1048576,Wykresy!R$26,Wykresy!$H31)</f>
        <v>4066.95</v>
      </c>
      <c r="S31" s="174">
        <f>INDEX(Dane_wykresy!$1:$1048576,Wykresy!S$26,Wykresy!$H31)</f>
        <v>3702.12</v>
      </c>
    </row>
    <row r="32" spans="2:19">
      <c r="G32" s="179">
        <v>42370</v>
      </c>
      <c r="H32" s="175">
        <f t="shared" si="2"/>
        <v>68</v>
      </c>
      <c r="I32" s="174">
        <f>INDEX(Dane_wykresy!$1:$1048576,Wykresy!I$26,Wykresy!$H32)</f>
        <v>4181.49</v>
      </c>
      <c r="J32" s="174">
        <f>INDEX(Dane_wykresy!$1:$1048576,Wykresy!J$26,Wykresy!$H32)</f>
        <v>5004.17</v>
      </c>
      <c r="L32" s="180">
        <f t="shared" si="0"/>
        <v>42370</v>
      </c>
      <c r="M32" s="174">
        <f>INDEX(Dane_wykresy!$1:$1048576,Wykresy!M$26,Wykresy!$H32)</f>
        <v>4181.49</v>
      </c>
      <c r="N32" s="174">
        <f>INDEX(Dane_wykresy!$1:$1048576,Wykresy!N$26,Wykresy!$H32)</f>
        <v>4042.8</v>
      </c>
      <c r="Q32" s="180">
        <f t="shared" si="1"/>
        <v>42370</v>
      </c>
      <c r="R32" s="174">
        <f>INDEX(Dane_wykresy!$1:$1048576,Wykresy!R$26,Wykresy!$H32)</f>
        <v>4181.49</v>
      </c>
      <c r="S32" s="174">
        <f>INDEX(Dane_wykresy!$1:$1048576,Wykresy!S$26,Wykresy!$H32)</f>
        <v>3887.89</v>
      </c>
    </row>
    <row r="33" spans="7:19">
      <c r="G33" s="179">
        <v>42461</v>
      </c>
      <c r="H33" s="175">
        <f t="shared" si="2"/>
        <v>69</v>
      </c>
      <c r="I33" s="174">
        <f>INDEX(Dane_wykresy!$1:$1048576,Wykresy!I$26,Wykresy!$H33)</f>
        <v>4019.08</v>
      </c>
      <c r="J33" s="174">
        <f>INDEX(Dane_wykresy!$1:$1048576,Wykresy!J$26,Wykresy!$H33)</f>
        <v>3982.83</v>
      </c>
      <c r="L33" s="180">
        <f t="shared" si="0"/>
        <v>42461</v>
      </c>
      <c r="M33" s="174">
        <f>INDEX(Dane_wykresy!$1:$1048576,Wykresy!M$26,Wykresy!$H33)</f>
        <v>4019.08</v>
      </c>
      <c r="N33" s="174">
        <f>INDEX(Dane_wykresy!$1:$1048576,Wykresy!N$26,Wykresy!$H33)</f>
        <v>4296.46</v>
      </c>
      <c r="Q33" s="180">
        <f t="shared" si="1"/>
        <v>42461</v>
      </c>
      <c r="R33" s="174">
        <f>INDEX(Dane_wykresy!$1:$1048576,Wykresy!R$26,Wykresy!$H33)</f>
        <v>4019.08</v>
      </c>
      <c r="S33" s="174">
        <f>INDEX(Dane_wykresy!$1:$1048576,Wykresy!S$26,Wykresy!$H33)</f>
        <v>3934.17</v>
      </c>
    </row>
    <row r="34" spans="7:19">
      <c r="G34" s="179">
        <v>42552</v>
      </c>
      <c r="H34" s="175">
        <f t="shared" si="2"/>
        <v>70</v>
      </c>
      <c r="I34" s="174">
        <f>INDEX(Dane_wykresy!$1:$1048576,Wykresy!I$26,Wykresy!$H34)</f>
        <v>4055.04</v>
      </c>
      <c r="J34" s="174">
        <f>INDEX(Dane_wykresy!$1:$1048576,Wykresy!J$26,Wykresy!$H34)</f>
        <v>4049.11</v>
      </c>
      <c r="L34" s="180">
        <f t="shared" si="0"/>
        <v>42552</v>
      </c>
      <c r="M34" s="174">
        <f>INDEX(Dane_wykresy!$1:$1048576,Wykresy!M$26,Wykresy!$H34)</f>
        <v>4055.04</v>
      </c>
      <c r="N34" s="174">
        <f>INDEX(Dane_wykresy!$1:$1048576,Wykresy!N$26,Wykresy!$H34)</f>
        <v>4257.7700000000004</v>
      </c>
      <c r="Q34" s="180">
        <f t="shared" si="1"/>
        <v>42552</v>
      </c>
      <c r="R34" s="174">
        <f>INDEX(Dane_wykresy!$1:$1048576,Wykresy!R$26,Wykresy!$H34)</f>
        <v>4055.04</v>
      </c>
      <c r="S34" s="174">
        <f>INDEX(Dane_wykresy!$1:$1048576,Wykresy!S$26,Wykresy!$H34)</f>
        <v>3902</v>
      </c>
    </row>
    <row r="35" spans="7:19">
      <c r="G35" s="179">
        <v>42644</v>
      </c>
      <c r="H35" s="175">
        <f t="shared" si="2"/>
        <v>71</v>
      </c>
      <c r="I35" s="174">
        <f>INDEX(Dane_wykresy!$1:$1048576,Wykresy!I$26,Wykresy!$H35)</f>
        <v>4218.92</v>
      </c>
      <c r="J35" s="174">
        <f>INDEX(Dane_wykresy!$1:$1048576,Wykresy!J$26,Wykresy!$H35)</f>
        <v>4365.79</v>
      </c>
      <c r="L35" s="180">
        <f t="shared" si="0"/>
        <v>42644</v>
      </c>
      <c r="M35" s="174">
        <f>INDEX(Dane_wykresy!$1:$1048576,Wykresy!M$26,Wykresy!$H35)</f>
        <v>4218.92</v>
      </c>
      <c r="N35" s="174">
        <f>INDEX(Dane_wykresy!$1:$1048576,Wykresy!N$26,Wykresy!$H35)</f>
        <v>4408.3500000000004</v>
      </c>
      <c r="Q35" s="180">
        <f t="shared" si="1"/>
        <v>42644</v>
      </c>
      <c r="R35" s="174">
        <f>INDEX(Dane_wykresy!$1:$1048576,Wykresy!R$26,Wykresy!$H35)</f>
        <v>4218.92</v>
      </c>
      <c r="S35" s="174">
        <f>INDEX(Dane_wykresy!$1:$1048576,Wykresy!S$26,Wykresy!$H35)</f>
        <v>3871.17</v>
      </c>
    </row>
    <row r="36" spans="7:19">
      <c r="G36" s="179">
        <v>42736</v>
      </c>
      <c r="H36" s="175">
        <f t="shared" si="2"/>
        <v>72</v>
      </c>
      <c r="I36" s="174">
        <f>INDEX(Dane_wykresy!$1:$1048576,Wykresy!I$26,Wykresy!$H36)</f>
        <v>4353.55</v>
      </c>
      <c r="J36" s="174">
        <f>INDEX(Dane_wykresy!$1:$1048576,Wykresy!J$26,Wykresy!$H36)</f>
        <v>5162.43</v>
      </c>
      <c r="L36" s="180">
        <f t="shared" si="0"/>
        <v>42736</v>
      </c>
      <c r="M36" s="174">
        <f>INDEX(Dane_wykresy!$1:$1048576,Wykresy!M$26,Wykresy!$H36)</f>
        <v>4353.55</v>
      </c>
      <c r="N36" s="174">
        <f>INDEX(Dane_wykresy!$1:$1048576,Wykresy!N$26,Wykresy!$H36)</f>
        <v>4267.0200000000004</v>
      </c>
      <c r="Q36" s="180">
        <f t="shared" si="1"/>
        <v>42736</v>
      </c>
      <c r="R36" s="174">
        <f>INDEX(Dane_wykresy!$1:$1048576,Wykresy!R$26,Wykresy!$H36)</f>
        <v>4353.55</v>
      </c>
      <c r="S36" s="174">
        <f>INDEX(Dane_wykresy!$1:$1048576,Wykresy!S$26,Wykresy!$H36)</f>
        <v>4148.0200000000004</v>
      </c>
    </row>
    <row r="37" spans="7:19">
      <c r="G37" s="179">
        <v>42826</v>
      </c>
      <c r="H37" s="175">
        <f t="shared" si="2"/>
        <v>73</v>
      </c>
      <c r="I37" s="174">
        <f>INDEX(Dane_wykresy!$1:$1048576,Wykresy!I$26,Wykresy!$H37)</f>
        <v>4220.6899999999996</v>
      </c>
      <c r="J37" s="174">
        <f>INDEX(Dane_wykresy!$1:$1048576,Wykresy!J$26,Wykresy!$H37)</f>
        <v>4110.8100000000004</v>
      </c>
      <c r="L37" s="180">
        <f t="shared" si="0"/>
        <v>42826</v>
      </c>
      <c r="M37" s="174">
        <f>INDEX(Dane_wykresy!$1:$1048576,Wykresy!M$26,Wykresy!$H37)</f>
        <v>4220.6899999999996</v>
      </c>
      <c r="N37" s="174">
        <f>INDEX(Dane_wykresy!$1:$1048576,Wykresy!N$26,Wykresy!$H37)</f>
        <v>4466.95</v>
      </c>
      <c r="Q37" s="180">
        <f t="shared" si="1"/>
        <v>42826</v>
      </c>
      <c r="R37" s="174">
        <f>INDEX(Dane_wykresy!$1:$1048576,Wykresy!R$26,Wykresy!$H37)</f>
        <v>4220.6899999999996</v>
      </c>
      <c r="S37" s="174">
        <f>INDEX(Dane_wykresy!$1:$1048576,Wykresy!S$26,Wykresy!$H37)</f>
        <v>4201.8100000000004</v>
      </c>
    </row>
    <row r="38" spans="7:19">
      <c r="G38" s="179">
        <v>42917</v>
      </c>
      <c r="H38" s="175">
        <f t="shared" si="2"/>
        <v>74</v>
      </c>
      <c r="I38" s="174">
        <f>INDEX(Dane_wykresy!$1:$1048576,Wykresy!I$26,Wykresy!$H38)</f>
        <v>4255.59</v>
      </c>
      <c r="J38" s="174">
        <f>INDEX(Dane_wykresy!$1:$1048576,Wykresy!J$26,Wykresy!$H38)</f>
        <v>4123.05</v>
      </c>
      <c r="L38" s="180">
        <f t="shared" si="0"/>
        <v>42917</v>
      </c>
      <c r="M38" s="174">
        <f>INDEX(Dane_wykresy!$1:$1048576,Wykresy!M$26,Wykresy!$H38)</f>
        <v>4255.59</v>
      </c>
      <c r="N38" s="174">
        <f>INDEX(Dane_wykresy!$1:$1048576,Wykresy!N$26,Wykresy!$H38)</f>
        <v>4572.97</v>
      </c>
      <c r="Q38" s="180">
        <f t="shared" si="1"/>
        <v>42917</v>
      </c>
      <c r="R38" s="174">
        <f>INDEX(Dane_wykresy!$1:$1048576,Wykresy!R$26,Wykresy!$H38)</f>
        <v>4255.59</v>
      </c>
      <c r="S38" s="174">
        <f>INDEX(Dane_wykresy!$1:$1048576,Wykresy!S$26,Wykresy!$H38)</f>
        <v>4181.3500000000004</v>
      </c>
    </row>
    <row r="39" spans="7:19">
      <c r="G39" s="179">
        <v>43009</v>
      </c>
      <c r="H39" s="175">
        <f t="shared" si="2"/>
        <v>75</v>
      </c>
      <c r="I39" s="174">
        <f>INDEX(Dane_wykresy!$1:$1048576,Wykresy!I$26,Wykresy!$H39)</f>
        <v>4516.6899999999996</v>
      </c>
      <c r="J39" s="174">
        <f>INDEX(Dane_wykresy!$1:$1048576,Wykresy!J$26,Wykresy!$H39)</f>
        <v>4613.17</v>
      </c>
      <c r="L39" s="180">
        <f t="shared" si="0"/>
        <v>43009</v>
      </c>
      <c r="M39" s="174">
        <f>INDEX(Dane_wykresy!$1:$1048576,Wykresy!M$26,Wykresy!$H39)</f>
        <v>4516.6899999999996</v>
      </c>
      <c r="N39" s="174">
        <f>INDEX(Dane_wykresy!$1:$1048576,Wykresy!N$26,Wykresy!$H39)</f>
        <v>4816.68</v>
      </c>
      <c r="Q39" s="180">
        <f t="shared" si="1"/>
        <v>43009</v>
      </c>
      <c r="R39" s="174">
        <f>INDEX(Dane_wykresy!$1:$1048576,Wykresy!R$26,Wykresy!$H39)</f>
        <v>4516.6899999999996</v>
      </c>
      <c r="S39" s="174">
        <f>INDEX(Dane_wykresy!$1:$1048576,Wykresy!S$26,Wykresy!$H39)</f>
        <v>4291.26</v>
      </c>
    </row>
    <row r="40" spans="7:19">
      <c r="G40" s="179">
        <v>43101</v>
      </c>
      <c r="H40" s="175">
        <f t="shared" si="2"/>
        <v>76</v>
      </c>
      <c r="I40" s="174">
        <f>INDEX(Dane_wykresy!$1:$1048576,Wykresy!I$26,Wykresy!$H40)</f>
        <v>4622.84</v>
      </c>
      <c r="J40" s="174">
        <f>INDEX(Dane_wykresy!$1:$1048576,Wykresy!J$26,Wykresy!$H40)</f>
        <v>5384.73</v>
      </c>
      <c r="L40" s="180">
        <f t="shared" si="0"/>
        <v>43101</v>
      </c>
      <c r="M40" s="174">
        <f>INDEX(Dane_wykresy!$1:$1048576,Wykresy!M$26,Wykresy!$H40)</f>
        <v>4622.84</v>
      </c>
      <c r="N40" s="174">
        <f>INDEX(Dane_wykresy!$1:$1048576,Wykresy!N$26,Wykresy!$H40)</f>
        <v>4592.8900000000003</v>
      </c>
      <c r="Q40" s="180">
        <f t="shared" si="1"/>
        <v>43101</v>
      </c>
      <c r="R40" s="174">
        <f>INDEX(Dane_wykresy!$1:$1048576,Wykresy!R$26,Wykresy!$H40)</f>
        <v>4622.84</v>
      </c>
      <c r="S40" s="174">
        <f>INDEX(Dane_wykresy!$1:$1048576,Wykresy!S$26,Wykresy!$H40)</f>
        <v>4443.41</v>
      </c>
    </row>
    <row r="41" spans="7:19">
      <c r="G41" s="179">
        <v>43191</v>
      </c>
      <c r="H41" s="175">
        <f t="shared" si="2"/>
        <v>77</v>
      </c>
      <c r="I41" s="174">
        <f>INDEX(Dane_wykresy!$1:$1048576,Wykresy!I$26,Wykresy!$H41)</f>
        <v>4521.08</v>
      </c>
      <c r="J41" s="174">
        <f>INDEX(Dane_wykresy!$1:$1048576,Wykresy!J$26,Wykresy!$H41)</f>
        <v>4327.32</v>
      </c>
      <c r="L41" s="180">
        <f t="shared" si="0"/>
        <v>43191</v>
      </c>
      <c r="M41" s="174">
        <f>INDEX(Dane_wykresy!$1:$1048576,Wykresy!M$26,Wykresy!$H41)</f>
        <v>4521.08</v>
      </c>
      <c r="N41" s="174">
        <f>INDEX(Dane_wykresy!$1:$1048576,Wykresy!N$26,Wykresy!$H41)</f>
        <v>4869.6000000000004</v>
      </c>
      <c r="Q41" s="180">
        <f t="shared" si="1"/>
        <v>43191</v>
      </c>
      <c r="R41" s="174">
        <f>INDEX(Dane_wykresy!$1:$1048576,Wykresy!R$26,Wykresy!$H41)</f>
        <v>4521.08</v>
      </c>
      <c r="S41" s="174">
        <f>INDEX(Dane_wykresy!$1:$1048576,Wykresy!S$26,Wykresy!$H41)</f>
        <v>4516.2299999999996</v>
      </c>
    </row>
    <row r="42" spans="7:19">
      <c r="G42" s="179">
        <v>43282</v>
      </c>
      <c r="H42" s="175">
        <f t="shared" si="2"/>
        <v>78</v>
      </c>
      <c r="I42" s="174">
        <f>INDEX(Dane_wykresy!$1:$1048576,Wykresy!I$26,Wykresy!$H42)</f>
        <v>4580.2</v>
      </c>
      <c r="J42" s="174">
        <f>INDEX(Dane_wykresy!$1:$1048576,Wykresy!J$26,Wykresy!$H42)</f>
        <v>4442.46</v>
      </c>
      <c r="L42" s="180">
        <f t="shared" si="0"/>
        <v>43282</v>
      </c>
      <c r="M42" s="174">
        <f>INDEX(Dane_wykresy!$1:$1048576,Wykresy!M$26,Wykresy!$H42)</f>
        <v>4580.2</v>
      </c>
      <c r="N42" s="174">
        <f>INDEX(Dane_wykresy!$1:$1048576,Wykresy!N$26,Wykresy!$H42)</f>
        <v>5010.96</v>
      </c>
      <c r="Q42" s="180">
        <f t="shared" si="1"/>
        <v>43282</v>
      </c>
      <c r="R42" s="174">
        <f>INDEX(Dane_wykresy!$1:$1048576,Wykresy!R$26,Wykresy!$H42)</f>
        <v>4580.2</v>
      </c>
      <c r="S42" s="174">
        <f>INDEX(Dane_wykresy!$1:$1048576,Wykresy!S$26,Wykresy!$H42)</f>
        <v>4485.01</v>
      </c>
    </row>
    <row r="43" spans="7:19">
      <c r="G43" s="179">
        <v>43374</v>
      </c>
      <c r="H43" s="175">
        <f t="shared" si="2"/>
        <v>79</v>
      </c>
      <c r="I43" s="174">
        <f>INDEX(Dane_wykresy!$1:$1048576,Wykresy!I$26,Wykresy!$H43)</f>
        <v>4863.74</v>
      </c>
      <c r="J43" s="174">
        <f>INDEX(Dane_wykresy!$1:$1048576,Wykresy!J$26,Wykresy!$H43)</f>
        <v>4850.78</v>
      </c>
      <c r="L43" s="180">
        <f t="shared" si="0"/>
        <v>43374</v>
      </c>
      <c r="M43" s="174">
        <f>INDEX(Dane_wykresy!$1:$1048576,Wykresy!M$26,Wykresy!$H43)</f>
        <v>4863.74</v>
      </c>
      <c r="N43" s="174">
        <f>INDEX(Dane_wykresy!$1:$1048576,Wykresy!N$26,Wykresy!$H43)</f>
        <v>5119.68</v>
      </c>
      <c r="Q43" s="180">
        <f t="shared" si="1"/>
        <v>43374</v>
      </c>
      <c r="R43" s="174">
        <f>INDEX(Dane_wykresy!$1:$1048576,Wykresy!R$26,Wykresy!$H43)</f>
        <v>4863.74</v>
      </c>
      <c r="S43" s="174">
        <f>INDEX(Dane_wykresy!$1:$1048576,Wykresy!S$26,Wykresy!$H43)</f>
        <v>4603.43</v>
      </c>
    </row>
    <row r="44" spans="7:19">
      <c r="G44" s="179">
        <v>43466</v>
      </c>
      <c r="H44" s="175">
        <f t="shared" si="2"/>
        <v>80</v>
      </c>
      <c r="I44" s="174">
        <f>INDEX(Dane_wykresy!$1:$1048576,Wykresy!I$26,Wykresy!$H44)</f>
        <v>4950.9399999999996</v>
      </c>
      <c r="J44" s="174">
        <f>INDEX(Dane_wykresy!$1:$1048576,Wykresy!J$26,Wykresy!$H44)</f>
        <v>5748.64</v>
      </c>
      <c r="L44" s="180">
        <f t="shared" si="0"/>
        <v>43466</v>
      </c>
      <c r="M44" s="174">
        <f>INDEX(Dane_wykresy!$1:$1048576,Wykresy!M$26,Wykresy!$H44)</f>
        <v>4950.9399999999996</v>
      </c>
      <c r="N44" s="174">
        <f>INDEX(Dane_wykresy!$1:$1048576,Wykresy!N$26,Wykresy!$H44)</f>
        <v>4873.42</v>
      </c>
      <c r="Q44" s="180">
        <f t="shared" si="1"/>
        <v>43466</v>
      </c>
      <c r="R44" s="174">
        <f>INDEX(Dane_wykresy!$1:$1048576,Wykresy!R$26,Wykresy!$H44)</f>
        <v>4950.9399999999996</v>
      </c>
      <c r="S44" s="174">
        <f>INDEX(Dane_wykresy!$1:$1048576,Wykresy!S$26,Wykresy!$H44)</f>
        <v>4751.3999999999996</v>
      </c>
    </row>
    <row r="45" spans="7:19">
      <c r="G45" s="179">
        <v>43556</v>
      </c>
      <c r="H45" s="175">
        <f t="shared" si="2"/>
        <v>81</v>
      </c>
      <c r="I45" s="174">
        <f>INDEX(Dane_wykresy!$1:$1048576,Wykresy!I$26,Wykresy!$H45)</f>
        <v>4839.24</v>
      </c>
      <c r="J45" s="174">
        <f>INDEX(Dane_wykresy!$1:$1048576,Wykresy!J$26,Wykresy!$H45)</f>
        <v>4532.04</v>
      </c>
      <c r="L45" s="180">
        <f t="shared" si="0"/>
        <v>43556</v>
      </c>
      <c r="M45" s="174">
        <f>INDEX(Dane_wykresy!$1:$1048576,Wykresy!M$26,Wykresy!$H45)</f>
        <v>4839.24</v>
      </c>
      <c r="N45" s="174">
        <f>INDEX(Dane_wykresy!$1:$1048576,Wykresy!N$26,Wykresy!$H45)</f>
        <v>5283.01</v>
      </c>
      <c r="Q45" s="180">
        <f t="shared" si="1"/>
        <v>43556</v>
      </c>
      <c r="R45" s="174">
        <f>INDEX(Dane_wykresy!$1:$1048576,Wykresy!R$26,Wykresy!$H45)</f>
        <v>4839.24</v>
      </c>
      <c r="S45" s="174">
        <f>INDEX(Dane_wykresy!$1:$1048576,Wykresy!S$26,Wykresy!$H45)</f>
        <v>4844.88</v>
      </c>
    </row>
    <row r="46" spans="7:19">
      <c r="G46" s="179">
        <v>43647</v>
      </c>
      <c r="H46" s="175">
        <f t="shared" si="2"/>
        <v>82</v>
      </c>
      <c r="I46" s="174">
        <f>INDEX(Dane_wykresy!$1:$1048576,Wykresy!I$26,Wykresy!$H46)</f>
        <v>4931.59</v>
      </c>
      <c r="J46" s="174">
        <f>INDEX(Dane_wykresy!$1:$1048576,Wykresy!J$26,Wykresy!$H46)</f>
        <v>4858.42</v>
      </c>
      <c r="L46" s="180">
        <f t="shared" si="0"/>
        <v>43647</v>
      </c>
      <c r="M46" s="174">
        <f>INDEX(Dane_wykresy!$1:$1048576,Wykresy!M$26,Wykresy!$H46)</f>
        <v>4931.59</v>
      </c>
      <c r="N46" s="174">
        <f>INDEX(Dane_wykresy!$1:$1048576,Wykresy!N$26,Wykresy!$H46)</f>
        <v>5234.7299999999996</v>
      </c>
      <c r="Q46" s="180">
        <f t="shared" si="1"/>
        <v>43647</v>
      </c>
      <c r="R46" s="174">
        <f>INDEX(Dane_wykresy!$1:$1048576,Wykresy!R$26,Wykresy!$H46)</f>
        <v>4931.59</v>
      </c>
      <c r="S46" s="174">
        <f>INDEX(Dane_wykresy!$1:$1048576,Wykresy!S$26,Wykresy!$H46)</f>
        <v>4797.29</v>
      </c>
    </row>
    <row r="47" spans="7:19">
      <c r="G47" s="179">
        <v>43739</v>
      </c>
      <c r="H47" s="175">
        <f t="shared" si="2"/>
        <v>83</v>
      </c>
      <c r="I47" s="174">
        <f>INDEX(Dane_wykresy!$1:$1048576,Wykresy!I$26,Wykresy!$H47)</f>
        <v>5198.58</v>
      </c>
      <c r="J47" s="174">
        <f>INDEX(Dane_wykresy!$1:$1048576,Wykresy!J$26,Wykresy!$H47)</f>
        <v>5306.15</v>
      </c>
      <c r="L47" s="180">
        <f t="shared" si="0"/>
        <v>43739</v>
      </c>
      <c r="M47" s="174">
        <f>INDEX(Dane_wykresy!$1:$1048576,Wykresy!M$26,Wykresy!$H47)</f>
        <v>5198.58</v>
      </c>
      <c r="N47" s="174">
        <f>INDEX(Dane_wykresy!$1:$1048576,Wykresy!N$26,Wykresy!$H47)</f>
        <v>5462.46</v>
      </c>
      <c r="Q47" s="180">
        <f t="shared" si="1"/>
        <v>43739</v>
      </c>
      <c r="R47" s="174">
        <f>INDEX(Dane_wykresy!$1:$1048576,Wykresy!R$26,Wykresy!$H47)</f>
        <v>5198.58</v>
      </c>
      <c r="S47" s="174">
        <f>INDEX(Dane_wykresy!$1:$1048576,Wykresy!S$26,Wykresy!$H47)</f>
        <v>4908.84</v>
      </c>
    </row>
    <row r="48" spans="7:19">
      <c r="G48" s="179">
        <v>43831</v>
      </c>
      <c r="H48" s="175">
        <f t="shared" si="2"/>
        <v>84</v>
      </c>
      <c r="I48" s="174">
        <f>INDEX(Dane_wykresy!$1:$1048576,Wykresy!I$26,Wykresy!$H48)</f>
        <v>5331.47</v>
      </c>
      <c r="J48" s="174">
        <f>INDEX(Dane_wykresy!$1:$1048576,Wykresy!J$26,Wykresy!$H48)</f>
        <v>6269.83</v>
      </c>
      <c r="L48" s="180">
        <f t="shared" si="0"/>
        <v>43831</v>
      </c>
      <c r="M48" s="174">
        <f>INDEX(Dane_wykresy!$1:$1048576,Wykresy!M$26,Wykresy!$H48)</f>
        <v>5331.47</v>
      </c>
      <c r="N48" s="174">
        <f>INDEX(Dane_wykresy!$1:$1048576,Wykresy!N$26,Wykresy!$H48)</f>
        <v>5180.03</v>
      </c>
      <c r="Q48" s="180">
        <f t="shared" si="1"/>
        <v>43831</v>
      </c>
      <c r="R48" s="174">
        <f>INDEX(Dane_wykresy!$1:$1048576,Wykresy!R$26,Wykresy!$H48)</f>
        <v>5331.47</v>
      </c>
      <c r="S48" s="174">
        <f>INDEX(Dane_wykresy!$1:$1048576,Wykresy!S$26,Wykresy!$H48)</f>
        <v>5118.87</v>
      </c>
    </row>
    <row r="49" spans="7:19">
      <c r="G49" s="179">
        <v>43922</v>
      </c>
      <c r="H49" s="175">
        <f t="shared" si="2"/>
        <v>85</v>
      </c>
      <c r="I49" s="174">
        <f>INDEX(Dane_wykresy!$1:$1048576,Wykresy!I$26,Wykresy!$H49)</f>
        <v>5024.4799999999996</v>
      </c>
      <c r="J49" s="174">
        <f>INDEX(Dane_wykresy!$1:$1048576,Wykresy!J$26,Wykresy!$H49)</f>
        <v>5007.6400000000003</v>
      </c>
      <c r="L49" s="180">
        <f t="shared" si="0"/>
        <v>43922</v>
      </c>
      <c r="M49" s="174">
        <f>INDEX(Dane_wykresy!$1:$1048576,Wykresy!M$26,Wykresy!$H49)</f>
        <v>5024.4799999999996</v>
      </c>
      <c r="N49" s="174">
        <f>INDEX(Dane_wykresy!$1:$1048576,Wykresy!N$26,Wykresy!$H49)</f>
        <v>5325.21</v>
      </c>
      <c r="Q49" s="180">
        <f t="shared" si="1"/>
        <v>43922</v>
      </c>
      <c r="R49" s="174">
        <f>INDEX(Dane_wykresy!$1:$1048576,Wykresy!R$26,Wykresy!$H49)</f>
        <v>5024.4799999999996</v>
      </c>
      <c r="S49" s="174">
        <f>INDEX(Dane_wykresy!$1:$1048576,Wykresy!S$26,Wykresy!$H49)</f>
        <v>5017.82</v>
      </c>
    </row>
    <row r="50" spans="7:19">
      <c r="G50" s="179">
        <v>44013</v>
      </c>
      <c r="H50" s="175">
        <f t="shared" si="2"/>
        <v>86</v>
      </c>
      <c r="I50" s="174">
        <f>INDEX(Dane_wykresy!$1:$1048576,Wykresy!I$26,Wykresy!$H50)</f>
        <v>5168.93</v>
      </c>
      <c r="J50" s="174">
        <f>INDEX(Dane_wykresy!$1:$1048576,Wykresy!J$26,Wykresy!$H50)</f>
        <v>5325.65</v>
      </c>
      <c r="L50" s="180">
        <f t="shared" si="0"/>
        <v>44013</v>
      </c>
      <c r="M50" s="174">
        <f>INDEX(Dane_wykresy!$1:$1048576,Wykresy!M$26,Wykresy!$H50)</f>
        <v>5168.93</v>
      </c>
      <c r="N50" s="174">
        <f>INDEX(Dane_wykresy!$1:$1048576,Wykresy!N$26,Wykresy!$H50)</f>
        <v>5490.26</v>
      </c>
      <c r="Q50" s="180">
        <f t="shared" si="1"/>
        <v>44013</v>
      </c>
      <c r="R50" s="174">
        <f>INDEX(Dane_wykresy!$1:$1048576,Wykresy!R$26,Wykresy!$H50)</f>
        <v>5168.93</v>
      </c>
      <c r="S50" s="174">
        <f>INDEX(Dane_wykresy!$1:$1048576,Wykresy!S$26,Wykresy!$H50)</f>
        <v>4976.7700000000004</v>
      </c>
    </row>
    <row r="51" spans="7:19">
      <c r="G51" s="179">
        <v>44105</v>
      </c>
      <c r="H51" s="175">
        <f t="shared" si="2"/>
        <v>87</v>
      </c>
      <c r="I51" s="174">
        <f>INDEX(Dane_wykresy!$1:$1048576,Wykresy!I$26,Wykresy!$H51)</f>
        <v>5457.98</v>
      </c>
      <c r="J51" s="174">
        <f>INDEX(Dane_wykresy!$1:$1048576,Wykresy!J$26,Wykresy!$H51)</f>
        <v>5698.13</v>
      </c>
      <c r="L51" s="180">
        <f t="shared" si="0"/>
        <v>44105</v>
      </c>
      <c r="M51" s="174">
        <f>INDEX(Dane_wykresy!$1:$1048576,Wykresy!M$26,Wykresy!$H51)</f>
        <v>5457.98</v>
      </c>
      <c r="N51" s="174">
        <f>INDEX(Dane_wykresy!$1:$1048576,Wykresy!N$26,Wykresy!$H51)</f>
        <v>5610.77</v>
      </c>
      <c r="Q51" s="180">
        <f t="shared" si="1"/>
        <v>44105</v>
      </c>
      <c r="R51" s="174">
        <f>INDEX(Dane_wykresy!$1:$1048576,Wykresy!R$26,Wykresy!$H51)</f>
        <v>5457.98</v>
      </c>
      <c r="S51" s="174">
        <f>INDEX(Dane_wykresy!$1:$1048576,Wykresy!S$26,Wykresy!$H51)</f>
        <v>5121.16</v>
      </c>
    </row>
    <row r="52" spans="7:19">
      <c r="G52" s="172"/>
    </row>
    <row r="53" spans="7:19">
      <c r="G53" s="172"/>
    </row>
    <row r="54" spans="7:19">
      <c r="G54" s="172"/>
    </row>
    <row r="55" spans="7:19">
      <c r="G55" s="172"/>
    </row>
    <row r="56" spans="7:19">
      <c r="G56" s="172"/>
    </row>
    <row r="57" spans="7:19">
      <c r="G57" s="172"/>
    </row>
    <row r="58" spans="7:19">
      <c r="G58" s="172"/>
    </row>
    <row r="59" spans="7:19">
      <c r="G59" s="172"/>
    </row>
    <row r="60" spans="7:19">
      <c r="G60" s="172"/>
    </row>
    <row r="61" spans="7:19">
      <c r="G61" s="172"/>
    </row>
    <row r="62" spans="7:19">
      <c r="G62" s="172"/>
    </row>
    <row r="63" spans="7:19">
      <c r="G63" s="172"/>
    </row>
    <row r="64" spans="7:19">
      <c r="G64" s="172"/>
    </row>
    <row r="65" spans="7:7">
      <c r="G65" s="172"/>
    </row>
    <row r="66" spans="7:7">
      <c r="G66" s="172"/>
    </row>
    <row r="67" spans="7:7">
      <c r="G67" s="172"/>
    </row>
    <row r="68" spans="7:7">
      <c r="G68" s="172"/>
    </row>
    <row r="69" spans="7:7">
      <c r="G69" s="172"/>
    </row>
    <row r="70" spans="7:7">
      <c r="G70" s="172"/>
    </row>
    <row r="71" spans="7:7">
      <c r="G71" s="172"/>
    </row>
    <row r="72" spans="7:7">
      <c r="G72" s="172"/>
    </row>
    <row r="73" spans="7:7">
      <c r="G73" s="172"/>
    </row>
    <row r="74" spans="7:7">
      <c r="G74" s="172"/>
    </row>
    <row r="75" spans="7:7">
      <c r="G75" s="172"/>
    </row>
    <row r="76" spans="7:7">
      <c r="G76" s="172"/>
    </row>
    <row r="77" spans="7:7">
      <c r="G77" s="172"/>
    </row>
    <row r="78" spans="7:7">
      <c r="G78" s="172"/>
    </row>
    <row r="79" spans="7:7">
      <c r="G79" s="172"/>
    </row>
    <row r="80" spans="7:7">
      <c r="G80" s="172"/>
    </row>
    <row r="81" spans="7:7">
      <c r="G81" s="172"/>
    </row>
    <row r="82" spans="7:7">
      <c r="G82" s="172"/>
    </row>
    <row r="83" spans="7:7">
      <c r="G83" s="172"/>
    </row>
    <row r="84" spans="7:7">
      <c r="G84" s="172"/>
    </row>
    <row r="85" spans="7:7">
      <c r="G85" s="172"/>
    </row>
    <row r="86" spans="7:7">
      <c r="G86" s="172"/>
    </row>
    <row r="87" spans="7:7">
      <c r="G87" s="172"/>
    </row>
    <row r="88" spans="7:7">
      <c r="G88" s="172"/>
    </row>
    <row r="89" spans="7:7">
      <c r="G89" s="172"/>
    </row>
    <row r="90" spans="7:7">
      <c r="G90" s="172"/>
    </row>
    <row r="91" spans="7:7">
      <c r="G91" s="172"/>
    </row>
    <row r="92" spans="7:7">
      <c r="G92" s="172"/>
    </row>
    <row r="93" spans="7:7">
      <c r="G93" s="172"/>
    </row>
    <row r="94" spans="7:7">
      <c r="G94" s="172"/>
    </row>
    <row r="95" spans="7:7">
      <c r="G95" s="172"/>
    </row>
    <row r="96" spans="7:7">
      <c r="G96" s="172"/>
    </row>
    <row r="97" spans="7:7">
      <c r="G97" s="172"/>
    </row>
    <row r="98" spans="7:7">
      <c r="G98" s="172"/>
    </row>
    <row r="99" spans="7:7">
      <c r="G99" s="172"/>
    </row>
    <row r="100" spans="7:7">
      <c r="G100" s="172"/>
    </row>
    <row r="101" spans="7:7">
      <c r="G101" s="172"/>
    </row>
    <row r="102" spans="7:7">
      <c r="G102" s="172"/>
    </row>
    <row r="103" spans="7:7">
      <c r="G103" s="172"/>
    </row>
    <row r="104" spans="7:7">
      <c r="G104" s="172"/>
    </row>
    <row r="105" spans="7:7">
      <c r="G105" s="172"/>
    </row>
    <row r="106" spans="7:7">
      <c r="G106" s="172"/>
    </row>
    <row r="107" spans="7:7">
      <c r="G107" s="172"/>
    </row>
    <row r="108" spans="7:7">
      <c r="G108" s="172"/>
    </row>
    <row r="109" spans="7:7">
      <c r="G109" s="172"/>
    </row>
    <row r="110" spans="7:7">
      <c r="G110" s="172"/>
    </row>
    <row r="111" spans="7:7">
      <c r="G111" s="172"/>
    </row>
    <row r="112" spans="7:7">
      <c r="G112" s="172"/>
    </row>
    <row r="113" spans="7:7">
      <c r="G113" s="172"/>
    </row>
  </sheetData>
  <mergeCells count="9">
    <mergeCell ref="Q25:S25"/>
    <mergeCell ref="G2:J2"/>
    <mergeCell ref="L2:O2"/>
    <mergeCell ref="Q2:T2"/>
    <mergeCell ref="B2:E2"/>
    <mergeCell ref="B3:E6"/>
    <mergeCell ref="B8:E10"/>
    <mergeCell ref="G25:J25"/>
    <mergeCell ref="L25:N2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D50D2-AF33-46A1-8E90-AE50C1178F94}">
  <sheetPr codeName="Arkusz2"/>
  <dimension ref="B2:E24"/>
  <sheetViews>
    <sheetView showGridLines="0" workbookViewId="0">
      <selection activeCell="D32" sqref="D32"/>
    </sheetView>
  </sheetViews>
  <sheetFormatPr defaultRowHeight="15"/>
  <cols>
    <col min="2" max="2" width="28.42578125" customWidth="1"/>
  </cols>
  <sheetData>
    <row r="2" spans="2:5">
      <c r="B2" s="199" t="s">
        <v>97</v>
      </c>
      <c r="C2" s="200"/>
      <c r="D2" s="200"/>
      <c r="E2" s="201"/>
    </row>
    <row r="3" spans="2:5">
      <c r="B3" t="s">
        <v>119</v>
      </c>
    </row>
    <row r="5" spans="2:5">
      <c r="B5" t="s">
        <v>120</v>
      </c>
    </row>
    <row r="7" spans="2:5">
      <c r="B7" t="s">
        <v>127</v>
      </c>
    </row>
    <row r="8" spans="2:5">
      <c r="B8" s="194" t="s">
        <v>121</v>
      </c>
      <c r="C8" s="192" t="s">
        <v>90</v>
      </c>
      <c r="D8" t="s">
        <v>122</v>
      </c>
    </row>
    <row r="9" spans="2:5">
      <c r="B9" s="194" t="s">
        <v>123</v>
      </c>
      <c r="C9" s="192" t="s">
        <v>90</v>
      </c>
      <c r="D9" t="s">
        <v>124</v>
      </c>
    </row>
    <row r="10" spans="2:5">
      <c r="B10" s="194" t="s">
        <v>125</v>
      </c>
      <c r="C10" s="192" t="s">
        <v>90</v>
      </c>
      <c r="D10" t="s">
        <v>126</v>
      </c>
    </row>
    <row r="12" spans="2:5">
      <c r="B12" s="195" t="s">
        <v>128</v>
      </c>
    </row>
    <row r="14" spans="2:5">
      <c r="B14" t="s">
        <v>129</v>
      </c>
    </row>
    <row r="16" spans="2:5">
      <c r="B16" s="194" t="s">
        <v>130</v>
      </c>
    </row>
    <row r="19" spans="2:5">
      <c r="B19" s="199" t="s">
        <v>131</v>
      </c>
      <c r="C19" s="200"/>
      <c r="D19" s="200"/>
      <c r="E19" s="201"/>
    </row>
    <row r="20" spans="2:5">
      <c r="B20" t="s">
        <v>165</v>
      </c>
    </row>
    <row r="21" spans="2:5">
      <c r="B21" t="s">
        <v>166</v>
      </c>
    </row>
    <row r="22" spans="2:5">
      <c r="B22" t="s">
        <v>167</v>
      </c>
    </row>
    <row r="23" spans="2:5">
      <c r="B23" t="s">
        <v>168</v>
      </c>
    </row>
    <row r="24" spans="2:5">
      <c r="B24" t="s">
        <v>169</v>
      </c>
    </row>
  </sheetData>
  <mergeCells count="2">
    <mergeCell ref="B2:E2"/>
    <mergeCell ref="B19:E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8B354-136A-4A83-A19B-1BB44748EF5F}">
  <sheetPr codeName="Sheet2"/>
  <dimension ref="C1:AR38"/>
  <sheetViews>
    <sheetView showGridLines="0" zoomScale="70" zoomScaleNormal="70" workbookViewId="0">
      <selection activeCell="C9" sqref="C9"/>
    </sheetView>
  </sheetViews>
  <sheetFormatPr defaultRowHeight="15"/>
  <cols>
    <col min="3" max="3" width="16.85546875" bestFit="1" customWidth="1"/>
    <col min="4" max="13" width="9.140625" style="184"/>
    <col min="20" max="20" width="13.42578125" customWidth="1"/>
    <col min="21" max="21" width="14" bestFit="1" customWidth="1"/>
    <col min="32" max="32" width="22.140625" bestFit="1" customWidth="1"/>
    <col min="33" max="33" width="10.7109375" bestFit="1" customWidth="1"/>
  </cols>
  <sheetData>
    <row r="1" spans="3:42">
      <c r="C1" s="199" t="s">
        <v>59</v>
      </c>
      <c r="D1" s="200"/>
      <c r="E1" s="200"/>
      <c r="F1" s="200"/>
      <c r="G1" s="200"/>
      <c r="H1" s="200"/>
      <c r="I1" s="200"/>
      <c r="J1" s="200"/>
      <c r="K1" s="201"/>
    </row>
    <row r="3" spans="3:42">
      <c r="C3" t="s">
        <v>113</v>
      </c>
    </row>
    <row r="5" spans="3:42">
      <c r="C5" t="s">
        <v>114</v>
      </c>
    </row>
    <row r="7" spans="3:42">
      <c r="C7" t="s">
        <v>115</v>
      </c>
      <c r="D7" s="184" t="s">
        <v>116</v>
      </c>
    </row>
    <row r="8" spans="3:42">
      <c r="C8" t="s">
        <v>117</v>
      </c>
      <c r="D8" s="184" t="s">
        <v>118</v>
      </c>
    </row>
    <row r="13" spans="3:42">
      <c r="AF13" s="172">
        <v>43105</v>
      </c>
      <c r="AG13" s="183" t="s">
        <v>76</v>
      </c>
      <c r="AH13" s="183" t="s">
        <v>77</v>
      </c>
      <c r="AI13" s="183" t="s">
        <v>78</v>
      </c>
      <c r="AJ13" s="183" t="s">
        <v>79</v>
      </c>
      <c r="AK13" s="183" t="s">
        <v>80</v>
      </c>
      <c r="AL13" s="183" t="s">
        <v>81</v>
      </c>
      <c r="AM13" s="183" t="s">
        <v>82</v>
      </c>
      <c r="AN13" s="183" t="s">
        <v>83</v>
      </c>
      <c r="AO13" s="183" t="s">
        <v>84</v>
      </c>
      <c r="AP13" s="183" t="s">
        <v>85</v>
      </c>
    </row>
    <row r="14" spans="3:42">
      <c r="AF14" t="s">
        <v>60</v>
      </c>
      <c r="AG14" s="184">
        <f>VLOOKUP($AF$13,$C:$M,MATCH(AG$13,$C$22:$M$22,0),TRUE)</f>
        <v>1.7825</v>
      </c>
      <c r="AH14" s="184">
        <f t="shared" ref="AH14:AP14" si="0">VLOOKUP($AF$13,$C:$M,MATCH(AH$13,$C$22:$M$22,0),TRUE)</f>
        <v>1.96</v>
      </c>
      <c r="AI14" s="184">
        <f t="shared" si="0"/>
        <v>2.1225000000000001</v>
      </c>
      <c r="AJ14" s="184">
        <f t="shared" si="0"/>
        <v>2.2749999999999999</v>
      </c>
      <c r="AK14" s="184">
        <f t="shared" si="0"/>
        <v>2.4</v>
      </c>
      <c r="AL14" s="184">
        <f t="shared" si="0"/>
        <v>2.5074999999999998</v>
      </c>
      <c r="AM14" s="184">
        <f t="shared" si="0"/>
        <v>2.6</v>
      </c>
      <c r="AN14" s="184">
        <f t="shared" si="0"/>
        <v>2.6875</v>
      </c>
      <c r="AO14" s="184">
        <f t="shared" si="0"/>
        <v>2.7675000000000001</v>
      </c>
      <c r="AP14" s="184">
        <f t="shared" si="0"/>
        <v>2.84</v>
      </c>
    </row>
    <row r="15" spans="3:42">
      <c r="AF15" t="s">
        <v>75</v>
      </c>
      <c r="AG15" s="184">
        <f t="shared" ref="AG15:AP15" si="1">VLOOKUP($AF$13,$T:$AD,MATCH(AG$13,$T$22:$AD$22,0),TRUE)</f>
        <v>1.6000018738362582</v>
      </c>
      <c r="AH15" s="184">
        <f t="shared" si="1"/>
        <v>2.1616222539637078</v>
      </c>
      <c r="AI15" s="184">
        <f t="shared" si="1"/>
        <v>2.3488290216315297</v>
      </c>
      <c r="AJ15" s="184">
        <f t="shared" si="1"/>
        <v>2.44243240546544</v>
      </c>
      <c r="AK15" s="184">
        <f t="shared" si="1"/>
        <v>2.4985944357657859</v>
      </c>
      <c r="AL15" s="184">
        <f t="shared" si="1"/>
        <v>2.5360357892993499</v>
      </c>
      <c r="AM15" s="184">
        <f t="shared" si="1"/>
        <v>2.5627796132518958</v>
      </c>
      <c r="AN15" s="184">
        <f t="shared" si="1"/>
        <v>2.5828374812163051</v>
      </c>
      <c r="AO15" s="184">
        <f t="shared" si="1"/>
        <v>2.5984380451886238</v>
      </c>
      <c r="AP15" s="184">
        <f t="shared" si="1"/>
        <v>2.6109184963664784</v>
      </c>
    </row>
    <row r="17" spans="3:44" ht="18.75">
      <c r="C17" s="211" t="s">
        <v>71</v>
      </c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O17" s="212" t="s">
        <v>72</v>
      </c>
      <c r="P17" s="213"/>
      <c r="Q17" s="213"/>
      <c r="R17" s="214"/>
      <c r="T17" s="211" t="s">
        <v>73</v>
      </c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F17" s="212" t="s">
        <v>74</v>
      </c>
      <c r="AG17" s="213"/>
      <c r="AH17" s="213"/>
      <c r="AI17" s="213"/>
      <c r="AJ17" s="213"/>
      <c r="AK17" s="213"/>
      <c r="AL17" s="213"/>
      <c r="AM17" s="213"/>
      <c r="AN17" s="213"/>
      <c r="AO17" s="213"/>
      <c r="AP17" s="213"/>
      <c r="AQ17" s="213"/>
      <c r="AR17" s="214"/>
    </row>
    <row r="19" spans="3:44">
      <c r="C19" t="s">
        <v>62</v>
      </c>
      <c r="D19" s="174">
        <v>1</v>
      </c>
      <c r="E19" s="174">
        <v>2</v>
      </c>
      <c r="F19" s="174">
        <v>3</v>
      </c>
      <c r="G19" s="174">
        <v>4</v>
      </c>
      <c r="H19" s="174">
        <v>5</v>
      </c>
      <c r="I19" s="174">
        <v>6</v>
      </c>
      <c r="J19" s="174">
        <v>7</v>
      </c>
      <c r="K19" s="174">
        <v>8</v>
      </c>
      <c r="L19" s="174">
        <v>9</v>
      </c>
      <c r="M19" s="174">
        <v>10</v>
      </c>
    </row>
    <row r="20" spans="3:44">
      <c r="C20" t="s">
        <v>63</v>
      </c>
      <c r="D20" s="174">
        <f>D19*12</f>
        <v>12</v>
      </c>
      <c r="E20" s="174">
        <f t="shared" ref="E20:M20" si="2">E19*12</f>
        <v>24</v>
      </c>
      <c r="F20" s="174">
        <f t="shared" si="2"/>
        <v>36</v>
      </c>
      <c r="G20" s="174">
        <f t="shared" si="2"/>
        <v>48</v>
      </c>
      <c r="H20" s="174">
        <f t="shared" si="2"/>
        <v>60</v>
      </c>
      <c r="I20" s="174">
        <f t="shared" si="2"/>
        <v>72</v>
      </c>
      <c r="J20" s="174">
        <f t="shared" si="2"/>
        <v>84</v>
      </c>
      <c r="K20" s="174">
        <f t="shared" si="2"/>
        <v>96</v>
      </c>
      <c r="L20" s="174">
        <f t="shared" si="2"/>
        <v>108</v>
      </c>
      <c r="M20" s="174">
        <f t="shared" si="2"/>
        <v>120</v>
      </c>
    </row>
    <row r="22" spans="3:44" s="189" customFormat="1" ht="30">
      <c r="D22" s="187" t="s">
        <v>76</v>
      </c>
      <c r="E22" s="187" t="s">
        <v>77</v>
      </c>
      <c r="F22" s="187" t="s">
        <v>78</v>
      </c>
      <c r="G22" s="187" t="s">
        <v>79</v>
      </c>
      <c r="H22" s="187" t="s">
        <v>80</v>
      </c>
      <c r="I22" s="187" t="s">
        <v>81</v>
      </c>
      <c r="J22" s="187" t="s">
        <v>82</v>
      </c>
      <c r="K22" s="187" t="s">
        <v>83</v>
      </c>
      <c r="L22" s="187" t="s">
        <v>84</v>
      </c>
      <c r="M22" s="187" t="s">
        <v>85</v>
      </c>
      <c r="U22" s="186" t="s">
        <v>76</v>
      </c>
      <c r="V22" s="186" t="s">
        <v>77</v>
      </c>
      <c r="W22" s="186" t="s">
        <v>78</v>
      </c>
      <c r="X22" s="186" t="s">
        <v>79</v>
      </c>
      <c r="Y22" s="186" t="s">
        <v>80</v>
      </c>
      <c r="Z22" s="186" t="s">
        <v>81</v>
      </c>
      <c r="AA22" s="186" t="s">
        <v>82</v>
      </c>
      <c r="AB22" s="186" t="s">
        <v>83</v>
      </c>
      <c r="AC22" s="186" t="s">
        <v>84</v>
      </c>
      <c r="AD22" s="186" t="s">
        <v>85</v>
      </c>
      <c r="AG22" s="186" t="s">
        <v>76</v>
      </c>
      <c r="AH22" s="186" t="s">
        <v>77</v>
      </c>
      <c r="AI22" s="186" t="s">
        <v>78</v>
      </c>
      <c r="AJ22" s="186" t="s">
        <v>79</v>
      </c>
      <c r="AK22" s="186" t="s">
        <v>80</v>
      </c>
      <c r="AL22" s="186" t="s">
        <v>81</v>
      </c>
      <c r="AM22" s="186" t="s">
        <v>82</v>
      </c>
      <c r="AN22" s="186" t="s">
        <v>83</v>
      </c>
      <c r="AO22" s="186" t="s">
        <v>84</v>
      </c>
      <c r="AP22" s="186" t="s">
        <v>85</v>
      </c>
      <c r="AR22" s="189" t="s">
        <v>64</v>
      </c>
    </row>
    <row r="23" spans="3:44" s="181" customFormat="1">
      <c r="C23" s="181" t="s">
        <v>65</v>
      </c>
      <c r="D23" s="188" t="s">
        <v>60</v>
      </c>
      <c r="E23" s="188" t="s">
        <v>60</v>
      </c>
      <c r="F23" s="188" t="s">
        <v>60</v>
      </c>
      <c r="G23" s="188" t="s">
        <v>60</v>
      </c>
      <c r="H23" s="188" t="s">
        <v>60</v>
      </c>
      <c r="I23" s="188" t="s">
        <v>60</v>
      </c>
      <c r="J23" s="188" t="s">
        <v>60</v>
      </c>
      <c r="K23" s="188" t="s">
        <v>60</v>
      </c>
      <c r="L23" s="188" t="s">
        <v>60</v>
      </c>
      <c r="M23" s="188" t="s">
        <v>60</v>
      </c>
      <c r="O23" s="185" t="s">
        <v>66</v>
      </c>
      <c r="P23" s="185" t="s">
        <v>67</v>
      </c>
      <c r="Q23" s="185" t="s">
        <v>68</v>
      </c>
      <c r="R23" s="185" t="s">
        <v>69</v>
      </c>
      <c r="U23" s="185" t="s">
        <v>61</v>
      </c>
      <c r="V23" s="185" t="s">
        <v>61</v>
      </c>
      <c r="W23" s="185" t="s">
        <v>61</v>
      </c>
      <c r="X23" s="185" t="s">
        <v>61</v>
      </c>
      <c r="Y23" s="185" t="s">
        <v>61</v>
      </c>
      <c r="Z23" s="185" t="s">
        <v>61</v>
      </c>
      <c r="AA23" s="185" t="s">
        <v>61</v>
      </c>
      <c r="AB23" s="185" t="s">
        <v>61</v>
      </c>
      <c r="AC23" s="185" t="s">
        <v>61</v>
      </c>
      <c r="AD23" s="185" t="s">
        <v>61</v>
      </c>
      <c r="AG23" s="185" t="s">
        <v>70</v>
      </c>
      <c r="AH23" s="185" t="s">
        <v>70</v>
      </c>
      <c r="AI23" s="185" t="s">
        <v>70</v>
      </c>
      <c r="AJ23" s="185" t="s">
        <v>70</v>
      </c>
      <c r="AK23" s="185" t="s">
        <v>70</v>
      </c>
      <c r="AL23" s="185" t="s">
        <v>70</v>
      </c>
      <c r="AM23" s="185" t="s">
        <v>70</v>
      </c>
      <c r="AN23" s="185" t="s">
        <v>70</v>
      </c>
      <c r="AO23" s="185" t="s">
        <v>70</v>
      </c>
      <c r="AP23" s="185" t="s">
        <v>70</v>
      </c>
    </row>
    <row r="24" spans="3:44" s="181" customFormat="1">
      <c r="C24" s="190">
        <v>43105</v>
      </c>
      <c r="D24" s="188">
        <v>1.7825</v>
      </c>
      <c r="E24" s="188">
        <v>1.96</v>
      </c>
      <c r="F24" s="188">
        <v>2.1225000000000001</v>
      </c>
      <c r="G24" s="188">
        <v>2.2749999999999999</v>
      </c>
      <c r="H24" s="188">
        <v>2.4</v>
      </c>
      <c r="I24" s="188">
        <v>2.5074999999999998</v>
      </c>
      <c r="J24" s="188">
        <v>2.6</v>
      </c>
      <c r="K24" s="188">
        <v>2.6875</v>
      </c>
      <c r="L24" s="188">
        <v>2.7675000000000001</v>
      </c>
      <c r="M24" s="188">
        <v>2.84</v>
      </c>
      <c r="O24" s="185">
        <v>2.7232425569671705</v>
      </c>
      <c r="P24" s="185">
        <v>14.011693327743444</v>
      </c>
      <c r="Q24" s="185">
        <v>6.2121606534573823</v>
      </c>
      <c r="R24" s="185">
        <v>0.66648460202553028</v>
      </c>
      <c r="T24" s="191">
        <f t="shared" ref="T24:T37" si="3">IF(ISNUMBER(C24),C24,NA())</f>
        <v>43105</v>
      </c>
      <c r="U24" s="185">
        <f>IFERROR($O24+$P24*(1-EXP(-D$20/$R24))/(-D$20/$R24)+$Q24*((1-EXP(-D$20/$R24))/(-D$20/$R24) -EXP(-D$20/$R24) ),NA())</f>
        <v>1.6000018738362582</v>
      </c>
      <c r="V24" s="185">
        <f t="shared" ref="V24:AD24" si="4">IFERROR($O24+$P24*(1-EXP(-E$20/$R24))/(-E$20/$R24)+$Q24*((1-EXP(-E$20/$R24))/(-E$20/$R24) -EXP(-E$20/$R24) ),NA())</f>
        <v>2.1616222539637078</v>
      </c>
      <c r="W24" s="185">
        <f t="shared" si="4"/>
        <v>2.3488290216315297</v>
      </c>
      <c r="X24" s="185">
        <f t="shared" si="4"/>
        <v>2.44243240546544</v>
      </c>
      <c r="Y24" s="185">
        <f t="shared" si="4"/>
        <v>2.4985944357657859</v>
      </c>
      <c r="Z24" s="185">
        <f t="shared" si="4"/>
        <v>2.5360357892993499</v>
      </c>
      <c r="AA24" s="185">
        <f t="shared" si="4"/>
        <v>2.5627796132518958</v>
      </c>
      <c r="AB24" s="185">
        <f t="shared" si="4"/>
        <v>2.5828374812163051</v>
      </c>
      <c r="AC24" s="185">
        <f t="shared" si="4"/>
        <v>2.5984380451886238</v>
      </c>
      <c r="AD24" s="185">
        <f t="shared" si="4"/>
        <v>2.6109184963664784</v>
      </c>
      <c r="AF24" s="191">
        <f t="shared" ref="AF24:AF37" si="5">IF(ISNUMBER(T24),T24,NA())</f>
        <v>43105</v>
      </c>
      <c r="AG24" s="185">
        <f t="shared" ref="AG24:AG37" si="6">IF(ISNUMBER(D24),POWER(D24-U24,2),"")</f>
        <v>3.3305566053276989E-2</v>
      </c>
      <c r="AH24" s="185">
        <f t="shared" ref="AH24:AH37" si="7">IF(ISNUMBER(E24),POWER(E24-V24,2),"")</f>
        <v>4.0651533293405887E-2</v>
      </c>
      <c r="AI24" s="185">
        <f t="shared" ref="AI24:AI37" si="8">IF(ISNUMBER(F24),POWER(F24-W24,2),"")</f>
        <v>5.1224826032685432E-2</v>
      </c>
      <c r="AJ24" s="185">
        <f t="shared" ref="AJ24:AJ37" si="9">IF(ISNUMBER(G24),POWER(G24-X24,2),"")</f>
        <v>2.8033610399943548E-2</v>
      </c>
      <c r="AK24" s="185">
        <f t="shared" ref="AK24:AK37" si="10">IF(ISNUMBER(H24),POWER(H24-Y24,2),"")</f>
        <v>9.7208627639736953E-3</v>
      </c>
      <c r="AL24" s="185">
        <f t="shared" ref="AL24:AL37" si="11">IF(ISNUMBER(I24),POWER(I24-Z24,2),"")</f>
        <v>8.1429127093690244E-4</v>
      </c>
      <c r="AM24" s="185">
        <f t="shared" ref="AM24:AM37" si="12">IF(ISNUMBER(J24),POWER(J24-AA24,2),"")</f>
        <v>1.3853571896784538E-3</v>
      </c>
      <c r="AN24" s="185">
        <f t="shared" ref="AN24:AN37" si="13">IF(ISNUMBER(K24),POWER(K24-AB24,2),"")</f>
        <v>1.0954242838147292E-2</v>
      </c>
      <c r="AO24" s="185">
        <f t="shared" ref="AO24:AO37" si="14">IF(ISNUMBER(L24),POWER(L24-AC24,2),"")</f>
        <v>2.8581944564643847E-2</v>
      </c>
      <c r="AP24" s="185">
        <f t="shared" ref="AP24:AP37" si="15">IF(ISNUMBER(M24),POWER(M24-AD24,2),"")</f>
        <v>5.247833530699509E-2</v>
      </c>
      <c r="AR24" s="185">
        <f>SUM(AG24:AP24)*100</f>
        <v>25.715056971368718</v>
      </c>
    </row>
    <row r="25" spans="3:44" s="181" customFormat="1">
      <c r="C25" s="190">
        <v>43112</v>
      </c>
      <c r="D25" s="188">
        <v>1.7725</v>
      </c>
      <c r="E25" s="188">
        <v>1.9849999999999999</v>
      </c>
      <c r="F25" s="188">
        <v>2.16</v>
      </c>
      <c r="G25" s="188">
        <v>2.3224999999999998</v>
      </c>
      <c r="H25" s="188">
        <v>2.46</v>
      </c>
      <c r="I25" s="188">
        <v>2.5674999999999999</v>
      </c>
      <c r="J25" s="188">
        <v>2.6625000000000001</v>
      </c>
      <c r="K25" s="188">
        <v>2.75</v>
      </c>
      <c r="L25" s="188">
        <v>2.83</v>
      </c>
      <c r="M25" s="188">
        <v>2.9</v>
      </c>
      <c r="O25" s="185">
        <v>2.7947164964550528</v>
      </c>
      <c r="P25" s="185">
        <v>13.996177941361006</v>
      </c>
      <c r="Q25" s="185">
        <v>7.5989661820362953</v>
      </c>
      <c r="R25" s="185">
        <v>0.67103118464731792</v>
      </c>
      <c r="T25" s="191">
        <f t="shared" si="3"/>
        <v>43112</v>
      </c>
      <c r="U25" s="185">
        <f t="shared" ref="U25:U37" si="16">IFERROR($O25+$P25*(1-EXP(-D$20/$R25))/(-D$20/$R25)+$Q25*((1-EXP(-D$20/$R25))/(-D$20/$R25) -EXP(-D$20/$R25) ),NA())</f>
        <v>1.5871317917115779</v>
      </c>
      <c r="V25" s="185">
        <f t="shared" ref="V25:V37" si="17">IFERROR($O25+$P25*(1-EXP(-E$20/$R25))/(-E$20/$R25)+$Q25*((1-EXP(-E$20/$R25))/(-E$20/$R25) -EXP(-E$20/$R25) ),NA())</f>
        <v>2.1909241987986818</v>
      </c>
      <c r="W25" s="185">
        <f t="shared" ref="W25:W37" si="18">IFERROR($O25+$P25*(1-EXP(-F$20/$R25))/(-F$20/$R25)+$Q25*((1-EXP(-F$20/$R25))/(-F$20/$R25) -EXP(-F$20/$R25) ),NA())</f>
        <v>2.3921882980174738</v>
      </c>
      <c r="X25" s="185">
        <f t="shared" ref="X25:X37" si="19">IFERROR($O25+$P25*(1-EXP(-G$20/$R25))/(-G$20/$R25)+$Q25*((1-EXP(-G$20/$R25))/(-G$20/$R25) -EXP(-G$20/$R25) ),NA())</f>
        <v>2.4928203476268682</v>
      </c>
      <c r="Y25" s="185">
        <f t="shared" ref="Y25:Y37" si="20">IFERROR($O25+$P25*(1-EXP(-H$20/$R25))/(-H$20/$R25)+$Q25*((1-EXP(-H$20/$R25))/(-H$20/$R25) -EXP(-H$20/$R25) ),NA())</f>
        <v>2.5531995773925051</v>
      </c>
      <c r="Z25" s="185">
        <f t="shared" ref="Z25:Z37" si="21">IFERROR($O25+$P25*(1-EXP(-I$20/$R25))/(-I$20/$R25)+$Q25*((1-EXP(-I$20/$R25))/(-I$20/$R25) -EXP(-I$20/$R25) ),NA())</f>
        <v>2.5934523972362631</v>
      </c>
      <c r="AA25" s="185">
        <f t="shared" ref="AA25:AA37" si="22">IFERROR($O25+$P25*(1-EXP(-J$20/$R25))/(-J$20/$R25)+$Q25*((1-EXP(-J$20/$R25))/(-J$20/$R25) -EXP(-J$20/$R25) ),NA())</f>
        <v>2.622204411410376</v>
      </c>
      <c r="AB25" s="185">
        <f t="shared" ref="AB25:AB37" si="23">IFERROR($O25+$P25*(1-EXP(-K$20/$R25))/(-K$20/$R25)+$Q25*((1-EXP(-K$20/$R25))/(-K$20/$R25) -EXP(-K$20/$R25) ),NA())</f>
        <v>2.6437684220409605</v>
      </c>
      <c r="AC25" s="185">
        <f t="shared" ref="AC25:AC37" si="24">IFERROR($O25+$P25*(1-EXP(-L$20/$R25))/(-L$20/$R25)+$Q25*((1-EXP(-L$20/$R25))/(-L$20/$R25) -EXP(-L$20/$R25) ),NA())</f>
        <v>2.6605404303091933</v>
      </c>
      <c r="AD25" s="185">
        <f t="shared" ref="AD25:AD37" si="25">IFERROR($O25+$P25*(1-EXP(-M$20/$R25))/(-M$20/$R25)+$Q25*((1-EXP(-M$20/$R25))/(-M$20/$R25) -EXP(-M$20/$R25) ),NA())</f>
        <v>2.673958036923779</v>
      </c>
      <c r="AF25" s="191">
        <f t="shared" si="5"/>
        <v>43112</v>
      </c>
      <c r="AG25" s="185">
        <f t="shared" si="6"/>
        <v>3.4361372644059821E-2</v>
      </c>
      <c r="AH25" s="185">
        <f t="shared" si="7"/>
        <v>4.2404775650879085E-2</v>
      </c>
      <c r="AI25" s="185">
        <f t="shared" si="8"/>
        <v>5.391140573625116E-2</v>
      </c>
      <c r="AJ25" s="185">
        <f t="shared" si="9"/>
        <v>2.9009020815737308E-2</v>
      </c>
      <c r="AK25" s="185">
        <f t="shared" si="10"/>
        <v>8.6861612261415616E-3</v>
      </c>
      <c r="AL25" s="185">
        <f t="shared" si="11"/>
        <v>6.735269223088013E-4</v>
      </c>
      <c r="AM25" s="185">
        <f t="shared" si="12"/>
        <v>1.6237344597842456E-3</v>
      </c>
      <c r="AN25" s="185">
        <f t="shared" si="13"/>
        <v>1.1285148155667482E-2</v>
      </c>
      <c r="AO25" s="185">
        <f t="shared" si="14"/>
        <v>2.8716545759793398E-2</v>
      </c>
      <c r="AP25" s="185">
        <f t="shared" si="15"/>
        <v>5.109496907135163E-2</v>
      </c>
      <c r="AR25" s="185">
        <f t="shared" ref="AR25:AR37" si="26">SUM(AG25:AP25)*100</f>
        <v>26.17666604419745</v>
      </c>
    </row>
    <row r="26" spans="3:44" s="181" customFormat="1">
      <c r="C26" s="190">
        <v>43119</v>
      </c>
      <c r="D26" s="188">
        <v>1.77</v>
      </c>
      <c r="E26" s="188">
        <v>1.9813000000000001</v>
      </c>
      <c r="F26" s="188">
        <v>2.1625000000000001</v>
      </c>
      <c r="G26" s="188">
        <v>2.335</v>
      </c>
      <c r="H26" s="188">
        <v>2.4750000000000001</v>
      </c>
      <c r="I26" s="188">
        <v>2.5838000000000001</v>
      </c>
      <c r="J26" s="188">
        <v>2.6749999999999998</v>
      </c>
      <c r="K26" s="188">
        <v>2.75</v>
      </c>
      <c r="L26" s="188">
        <v>2.8374999999999999</v>
      </c>
      <c r="M26" s="188">
        <v>2.9112999999999998</v>
      </c>
      <c r="O26" s="185">
        <v>0</v>
      </c>
      <c r="P26" s="185">
        <v>0</v>
      </c>
      <c r="Q26" s="185">
        <v>0</v>
      </c>
      <c r="R26" s="185">
        <v>1</v>
      </c>
      <c r="T26" s="191">
        <f t="shared" si="3"/>
        <v>43119</v>
      </c>
      <c r="U26" s="185">
        <f t="shared" si="16"/>
        <v>0</v>
      </c>
      <c r="V26" s="185">
        <f t="shared" si="17"/>
        <v>0</v>
      </c>
      <c r="W26" s="185">
        <f t="shared" si="18"/>
        <v>0</v>
      </c>
      <c r="X26" s="185">
        <f t="shared" si="19"/>
        <v>0</v>
      </c>
      <c r="Y26" s="185">
        <f t="shared" si="20"/>
        <v>0</v>
      </c>
      <c r="Z26" s="185">
        <f t="shared" si="21"/>
        <v>0</v>
      </c>
      <c r="AA26" s="185">
        <f t="shared" si="22"/>
        <v>0</v>
      </c>
      <c r="AB26" s="185">
        <f t="shared" si="23"/>
        <v>0</v>
      </c>
      <c r="AC26" s="185">
        <f t="shared" si="24"/>
        <v>0</v>
      </c>
      <c r="AD26" s="185">
        <f t="shared" si="25"/>
        <v>0</v>
      </c>
      <c r="AF26" s="191">
        <f t="shared" si="5"/>
        <v>43119</v>
      </c>
      <c r="AG26" s="185">
        <f t="shared" si="6"/>
        <v>3.1329000000000002</v>
      </c>
      <c r="AH26" s="185">
        <f t="shared" si="7"/>
        <v>3.9255496900000004</v>
      </c>
      <c r="AI26" s="185">
        <f t="shared" si="8"/>
        <v>4.6764062500000003</v>
      </c>
      <c r="AJ26" s="185">
        <f t="shared" si="9"/>
        <v>5.4522249999999994</v>
      </c>
      <c r="AK26" s="185">
        <f t="shared" si="10"/>
        <v>6.1256250000000003</v>
      </c>
      <c r="AL26" s="185">
        <f t="shared" si="11"/>
        <v>6.6760224400000006</v>
      </c>
      <c r="AM26" s="185">
        <f t="shared" si="12"/>
        <v>7.1556249999999988</v>
      </c>
      <c r="AN26" s="185">
        <f t="shared" si="13"/>
        <v>7.5625</v>
      </c>
      <c r="AO26" s="185">
        <f t="shared" si="14"/>
        <v>8.0514062499999994</v>
      </c>
      <c r="AP26" s="185">
        <f t="shared" si="15"/>
        <v>8.4756676899999981</v>
      </c>
      <c r="AR26" s="185">
        <f t="shared" si="26"/>
        <v>6123.3927319999993</v>
      </c>
    </row>
    <row r="27" spans="3:44" s="181" customFormat="1">
      <c r="C27" s="190">
        <v>43126</v>
      </c>
      <c r="D27" s="188">
        <v>1.78</v>
      </c>
      <c r="E27" s="188">
        <v>2.0699999999999998</v>
      </c>
      <c r="F27" s="188">
        <v>2.2999999999999998</v>
      </c>
      <c r="G27" s="188">
        <v>2.5175000000000001</v>
      </c>
      <c r="H27" s="188">
        <v>2.69</v>
      </c>
      <c r="I27" s="188">
        <v>2.81</v>
      </c>
      <c r="J27" s="188">
        <v>2.9050000000000002</v>
      </c>
      <c r="K27" s="188">
        <v>2.75</v>
      </c>
      <c r="L27" s="188">
        <v>3.0674999999999999</v>
      </c>
      <c r="M27" s="188">
        <v>3.14</v>
      </c>
      <c r="O27" s="185">
        <v>0</v>
      </c>
      <c r="P27" s="185">
        <v>0</v>
      </c>
      <c r="Q27" s="185">
        <v>0</v>
      </c>
      <c r="R27" s="185">
        <v>1</v>
      </c>
      <c r="T27" s="191">
        <f t="shared" si="3"/>
        <v>43126</v>
      </c>
      <c r="U27" s="185">
        <f t="shared" si="16"/>
        <v>0</v>
      </c>
      <c r="V27" s="185">
        <f t="shared" si="17"/>
        <v>0</v>
      </c>
      <c r="W27" s="185">
        <f t="shared" si="18"/>
        <v>0</v>
      </c>
      <c r="X27" s="185">
        <f t="shared" si="19"/>
        <v>0</v>
      </c>
      <c r="Y27" s="185">
        <f t="shared" si="20"/>
        <v>0</v>
      </c>
      <c r="Z27" s="185">
        <f t="shared" si="21"/>
        <v>0</v>
      </c>
      <c r="AA27" s="185">
        <f t="shared" si="22"/>
        <v>0</v>
      </c>
      <c r="AB27" s="185">
        <f t="shared" si="23"/>
        <v>0</v>
      </c>
      <c r="AC27" s="185">
        <f t="shared" si="24"/>
        <v>0</v>
      </c>
      <c r="AD27" s="185">
        <f t="shared" si="25"/>
        <v>0</v>
      </c>
      <c r="AF27" s="191">
        <f t="shared" si="5"/>
        <v>43126</v>
      </c>
      <c r="AG27" s="185">
        <f t="shared" si="6"/>
        <v>3.1684000000000001</v>
      </c>
      <c r="AH27" s="185">
        <f t="shared" si="7"/>
        <v>4.2848999999999995</v>
      </c>
      <c r="AI27" s="185">
        <f t="shared" si="8"/>
        <v>5.2899999999999991</v>
      </c>
      <c r="AJ27" s="185">
        <f t="shared" si="9"/>
        <v>6.3378062500000008</v>
      </c>
      <c r="AK27" s="185">
        <f t="shared" si="10"/>
        <v>7.2360999999999995</v>
      </c>
      <c r="AL27" s="185">
        <f t="shared" si="11"/>
        <v>7.8961000000000006</v>
      </c>
      <c r="AM27" s="185">
        <f t="shared" si="12"/>
        <v>8.4390250000000009</v>
      </c>
      <c r="AN27" s="185">
        <f t="shared" si="13"/>
        <v>7.5625</v>
      </c>
      <c r="AO27" s="185">
        <f t="shared" si="14"/>
        <v>9.4095562499999996</v>
      </c>
      <c r="AP27" s="185">
        <f t="shared" si="15"/>
        <v>9.8596000000000004</v>
      </c>
      <c r="AR27" s="185">
        <f t="shared" si="26"/>
        <v>6948.3987500000012</v>
      </c>
    </row>
    <row r="28" spans="3:44" s="181" customFormat="1">
      <c r="C28" s="190">
        <v>43133</v>
      </c>
      <c r="D28" s="188">
        <v>1.78</v>
      </c>
      <c r="E28" s="188">
        <v>2.06</v>
      </c>
      <c r="F28" s="188">
        <v>2.33</v>
      </c>
      <c r="G28" s="188">
        <v>2.56</v>
      </c>
      <c r="H28" s="188">
        <v>2.74</v>
      </c>
      <c r="I28" s="188">
        <v>2.8650000000000002</v>
      </c>
      <c r="J28" s="188">
        <v>2.9550000000000001</v>
      </c>
      <c r="K28" s="188">
        <v>2.75</v>
      </c>
      <c r="L28" s="188">
        <v>3.11</v>
      </c>
      <c r="M28" s="188">
        <v>3.1825000000000001</v>
      </c>
      <c r="O28" s="185">
        <v>0</v>
      </c>
      <c r="P28" s="185">
        <v>0</v>
      </c>
      <c r="Q28" s="185">
        <v>0</v>
      </c>
      <c r="R28" s="185">
        <v>1</v>
      </c>
      <c r="T28" s="191">
        <f t="shared" si="3"/>
        <v>43133</v>
      </c>
      <c r="U28" s="185">
        <f t="shared" si="16"/>
        <v>0</v>
      </c>
      <c r="V28" s="185">
        <f t="shared" si="17"/>
        <v>0</v>
      </c>
      <c r="W28" s="185">
        <f t="shared" si="18"/>
        <v>0</v>
      </c>
      <c r="X28" s="185">
        <f t="shared" si="19"/>
        <v>0</v>
      </c>
      <c r="Y28" s="185">
        <f t="shared" si="20"/>
        <v>0</v>
      </c>
      <c r="Z28" s="185">
        <f t="shared" si="21"/>
        <v>0</v>
      </c>
      <c r="AA28" s="185">
        <f t="shared" si="22"/>
        <v>0</v>
      </c>
      <c r="AB28" s="185">
        <f t="shared" si="23"/>
        <v>0</v>
      </c>
      <c r="AC28" s="185">
        <f t="shared" si="24"/>
        <v>0</v>
      </c>
      <c r="AD28" s="185">
        <f t="shared" si="25"/>
        <v>0</v>
      </c>
      <c r="AF28" s="191">
        <f t="shared" si="5"/>
        <v>43133</v>
      </c>
      <c r="AG28" s="185">
        <f t="shared" si="6"/>
        <v>3.1684000000000001</v>
      </c>
      <c r="AH28" s="185">
        <f t="shared" si="7"/>
        <v>4.2435999999999998</v>
      </c>
      <c r="AI28" s="185">
        <f t="shared" si="8"/>
        <v>5.4289000000000005</v>
      </c>
      <c r="AJ28" s="185">
        <f t="shared" si="9"/>
        <v>6.5536000000000003</v>
      </c>
      <c r="AK28" s="185">
        <f t="shared" si="10"/>
        <v>7.5076000000000009</v>
      </c>
      <c r="AL28" s="185">
        <f t="shared" si="11"/>
        <v>8.2082250000000005</v>
      </c>
      <c r="AM28" s="185">
        <f t="shared" si="12"/>
        <v>8.7320250000000001</v>
      </c>
      <c r="AN28" s="185">
        <f t="shared" si="13"/>
        <v>7.5625</v>
      </c>
      <c r="AO28" s="185">
        <f t="shared" si="14"/>
        <v>9.6720999999999986</v>
      </c>
      <c r="AP28" s="185">
        <f t="shared" si="15"/>
        <v>10.128306250000001</v>
      </c>
      <c r="AR28" s="185">
        <f t="shared" si="26"/>
        <v>7120.5256250000002</v>
      </c>
    </row>
    <row r="29" spans="3:44" s="181" customFormat="1">
      <c r="C29" s="190">
        <v>43140</v>
      </c>
      <c r="D29" s="188">
        <v>1.77</v>
      </c>
      <c r="E29" s="188">
        <v>2.0249999999999999</v>
      </c>
      <c r="F29" s="188">
        <v>2.2824999999999998</v>
      </c>
      <c r="G29" s="188">
        <v>2.4975000000000001</v>
      </c>
      <c r="H29" s="188">
        <v>2.665</v>
      </c>
      <c r="I29" s="188">
        <v>2.7974999999999999</v>
      </c>
      <c r="J29" s="188">
        <v>2.9</v>
      </c>
      <c r="K29" s="188">
        <v>2.75</v>
      </c>
      <c r="L29" s="188">
        <v>3.0525000000000002</v>
      </c>
      <c r="M29" s="188">
        <v>3.14</v>
      </c>
      <c r="O29" s="185">
        <v>0</v>
      </c>
      <c r="P29" s="185">
        <v>0</v>
      </c>
      <c r="Q29" s="185">
        <v>0</v>
      </c>
      <c r="R29" s="185">
        <v>1</v>
      </c>
      <c r="T29" s="191">
        <f t="shared" si="3"/>
        <v>43140</v>
      </c>
      <c r="U29" s="185">
        <f t="shared" si="16"/>
        <v>0</v>
      </c>
      <c r="V29" s="185">
        <f t="shared" si="17"/>
        <v>0</v>
      </c>
      <c r="W29" s="185">
        <f t="shared" si="18"/>
        <v>0</v>
      </c>
      <c r="X29" s="185">
        <f t="shared" si="19"/>
        <v>0</v>
      </c>
      <c r="Y29" s="185">
        <f t="shared" si="20"/>
        <v>0</v>
      </c>
      <c r="Z29" s="185">
        <f t="shared" si="21"/>
        <v>0</v>
      </c>
      <c r="AA29" s="185">
        <f t="shared" si="22"/>
        <v>0</v>
      </c>
      <c r="AB29" s="185">
        <f t="shared" si="23"/>
        <v>0</v>
      </c>
      <c r="AC29" s="185">
        <f t="shared" si="24"/>
        <v>0</v>
      </c>
      <c r="AD29" s="185">
        <f t="shared" si="25"/>
        <v>0</v>
      </c>
      <c r="AF29" s="191">
        <f t="shared" si="5"/>
        <v>43140</v>
      </c>
      <c r="AG29" s="185">
        <f t="shared" si="6"/>
        <v>3.1329000000000002</v>
      </c>
      <c r="AH29" s="185">
        <f t="shared" si="7"/>
        <v>4.100625</v>
      </c>
      <c r="AI29" s="185">
        <f t="shared" si="8"/>
        <v>5.2098062499999989</v>
      </c>
      <c r="AJ29" s="185">
        <f t="shared" si="9"/>
        <v>6.23750625</v>
      </c>
      <c r="AK29" s="185">
        <f t="shared" si="10"/>
        <v>7.1022249999999998</v>
      </c>
      <c r="AL29" s="185">
        <f t="shared" si="11"/>
        <v>7.8260062499999989</v>
      </c>
      <c r="AM29" s="185">
        <f t="shared" si="12"/>
        <v>8.41</v>
      </c>
      <c r="AN29" s="185">
        <f t="shared" si="13"/>
        <v>7.5625</v>
      </c>
      <c r="AO29" s="185">
        <f t="shared" si="14"/>
        <v>9.3177562500000022</v>
      </c>
      <c r="AP29" s="185">
        <f t="shared" si="15"/>
        <v>9.8596000000000004</v>
      </c>
      <c r="AR29" s="185">
        <f t="shared" si="26"/>
        <v>6875.8925000000008</v>
      </c>
    </row>
    <row r="30" spans="3:44" s="181" customFormat="1">
      <c r="C30" s="190">
        <v>43147</v>
      </c>
      <c r="D30" s="188">
        <v>1.7725</v>
      </c>
      <c r="E30" s="188">
        <v>2.0137999999999998</v>
      </c>
      <c r="F30" s="188">
        <v>2.2450000000000001</v>
      </c>
      <c r="G30" s="188">
        <v>2.4474999999999998</v>
      </c>
      <c r="H30" s="188">
        <v>2.61</v>
      </c>
      <c r="I30" s="188">
        <v>2.7374999999999998</v>
      </c>
      <c r="J30" s="188">
        <v>2.84</v>
      </c>
      <c r="K30" s="188">
        <v>2.75</v>
      </c>
      <c r="L30" s="188">
        <v>3.0024999999999999</v>
      </c>
      <c r="M30" s="188">
        <v>3.0825</v>
      </c>
      <c r="O30" s="185">
        <v>0</v>
      </c>
      <c r="P30" s="185">
        <v>0</v>
      </c>
      <c r="Q30" s="185">
        <v>0</v>
      </c>
      <c r="R30" s="185">
        <v>1</v>
      </c>
      <c r="T30" s="191">
        <f t="shared" si="3"/>
        <v>43147</v>
      </c>
      <c r="U30" s="185">
        <f t="shared" si="16"/>
        <v>0</v>
      </c>
      <c r="V30" s="185">
        <f t="shared" si="17"/>
        <v>0</v>
      </c>
      <c r="W30" s="185">
        <f t="shared" si="18"/>
        <v>0</v>
      </c>
      <c r="X30" s="185">
        <f t="shared" si="19"/>
        <v>0</v>
      </c>
      <c r="Y30" s="185">
        <f t="shared" si="20"/>
        <v>0</v>
      </c>
      <c r="Z30" s="185">
        <f t="shared" si="21"/>
        <v>0</v>
      </c>
      <c r="AA30" s="185">
        <f t="shared" si="22"/>
        <v>0</v>
      </c>
      <c r="AB30" s="185">
        <f t="shared" si="23"/>
        <v>0</v>
      </c>
      <c r="AC30" s="185">
        <f t="shared" si="24"/>
        <v>0</v>
      </c>
      <c r="AD30" s="185">
        <f t="shared" si="25"/>
        <v>0</v>
      </c>
      <c r="AF30" s="191">
        <f t="shared" si="5"/>
        <v>43147</v>
      </c>
      <c r="AG30" s="185">
        <f t="shared" si="6"/>
        <v>3.1417562499999998</v>
      </c>
      <c r="AH30" s="185">
        <f t="shared" si="7"/>
        <v>4.0553904399999992</v>
      </c>
      <c r="AI30" s="185">
        <f t="shared" si="8"/>
        <v>5.0400250000000009</v>
      </c>
      <c r="AJ30" s="185">
        <f t="shared" si="9"/>
        <v>5.9902562499999989</v>
      </c>
      <c r="AK30" s="185">
        <f t="shared" si="10"/>
        <v>6.8120999999999992</v>
      </c>
      <c r="AL30" s="185">
        <f t="shared" si="11"/>
        <v>7.4939062499999993</v>
      </c>
      <c r="AM30" s="185">
        <f t="shared" si="12"/>
        <v>8.0655999999999999</v>
      </c>
      <c r="AN30" s="185">
        <f t="shared" si="13"/>
        <v>7.5625</v>
      </c>
      <c r="AO30" s="185">
        <f t="shared" si="14"/>
        <v>9.015006249999999</v>
      </c>
      <c r="AP30" s="185">
        <f t="shared" si="15"/>
        <v>9.5018062499999996</v>
      </c>
      <c r="AR30" s="185">
        <f t="shared" si="26"/>
        <v>6667.8346689999998</v>
      </c>
    </row>
    <row r="31" spans="3:44" s="181" customFormat="1">
      <c r="C31" s="190">
        <v>43154</v>
      </c>
      <c r="D31" s="188">
        <v>1.7749999999999999</v>
      </c>
      <c r="E31" s="188">
        <v>2.0049999999999999</v>
      </c>
      <c r="F31" s="188">
        <v>2.2450000000000001</v>
      </c>
      <c r="G31" s="188">
        <v>2.4474999999999998</v>
      </c>
      <c r="H31" s="188">
        <v>2.5925000000000002</v>
      </c>
      <c r="I31" s="188">
        <v>2.7075</v>
      </c>
      <c r="J31" s="188">
        <v>2.8075000000000001</v>
      </c>
      <c r="K31" s="188">
        <v>2.75</v>
      </c>
      <c r="L31" s="188">
        <v>2.9824999999999999</v>
      </c>
      <c r="M31" s="188">
        <v>3.0674999999999999</v>
      </c>
      <c r="O31" s="185">
        <v>0</v>
      </c>
      <c r="P31" s="185">
        <v>0</v>
      </c>
      <c r="Q31" s="185">
        <v>0</v>
      </c>
      <c r="R31" s="185">
        <v>1</v>
      </c>
      <c r="T31" s="191">
        <f t="shared" si="3"/>
        <v>43154</v>
      </c>
      <c r="U31" s="185">
        <f t="shared" si="16"/>
        <v>0</v>
      </c>
      <c r="V31" s="185">
        <f t="shared" si="17"/>
        <v>0</v>
      </c>
      <c r="W31" s="185">
        <f t="shared" si="18"/>
        <v>0</v>
      </c>
      <c r="X31" s="185">
        <f t="shared" si="19"/>
        <v>0</v>
      </c>
      <c r="Y31" s="185">
        <f t="shared" si="20"/>
        <v>0</v>
      </c>
      <c r="Z31" s="185">
        <f t="shared" si="21"/>
        <v>0</v>
      </c>
      <c r="AA31" s="185">
        <f t="shared" si="22"/>
        <v>0</v>
      </c>
      <c r="AB31" s="185">
        <f t="shared" si="23"/>
        <v>0</v>
      </c>
      <c r="AC31" s="185">
        <f t="shared" si="24"/>
        <v>0</v>
      </c>
      <c r="AD31" s="185">
        <f t="shared" si="25"/>
        <v>0</v>
      </c>
      <c r="AF31" s="191">
        <f t="shared" si="5"/>
        <v>43154</v>
      </c>
      <c r="AG31" s="185">
        <f t="shared" si="6"/>
        <v>3.1506249999999998</v>
      </c>
      <c r="AH31" s="185">
        <f t="shared" si="7"/>
        <v>4.0200249999999995</v>
      </c>
      <c r="AI31" s="185">
        <f t="shared" si="8"/>
        <v>5.0400250000000009</v>
      </c>
      <c r="AJ31" s="185">
        <f t="shared" si="9"/>
        <v>5.9902562499999989</v>
      </c>
      <c r="AK31" s="185">
        <f t="shared" si="10"/>
        <v>6.7210562500000011</v>
      </c>
      <c r="AL31" s="185">
        <f t="shared" si="11"/>
        <v>7.3305562499999999</v>
      </c>
      <c r="AM31" s="185">
        <f t="shared" si="12"/>
        <v>7.8820562500000007</v>
      </c>
      <c r="AN31" s="185">
        <f t="shared" si="13"/>
        <v>7.5625</v>
      </c>
      <c r="AO31" s="185">
        <f t="shared" si="14"/>
        <v>8.8953062499999991</v>
      </c>
      <c r="AP31" s="185">
        <f t="shared" si="15"/>
        <v>9.4095562499999996</v>
      </c>
      <c r="AR31" s="185">
        <f t="shared" si="26"/>
        <v>6600.1962499999991</v>
      </c>
    </row>
    <row r="32" spans="3:44" s="181" customFormat="1">
      <c r="C32" s="190">
        <v>43161</v>
      </c>
      <c r="D32" s="188">
        <v>1.77</v>
      </c>
      <c r="E32" s="188">
        <v>1.98</v>
      </c>
      <c r="F32" s="188">
        <v>2.19</v>
      </c>
      <c r="G32" s="188">
        <v>2.3650000000000002</v>
      </c>
      <c r="H32" s="188">
        <v>2.5049999999999999</v>
      </c>
      <c r="I32" s="188">
        <v>2.6150000000000002</v>
      </c>
      <c r="J32" s="188">
        <v>2.7075</v>
      </c>
      <c r="K32" s="188">
        <v>2.75</v>
      </c>
      <c r="L32" s="188">
        <v>2.88</v>
      </c>
      <c r="M32" s="188">
        <v>2.9575</v>
      </c>
      <c r="O32" s="185">
        <v>0</v>
      </c>
      <c r="P32" s="185">
        <v>0</v>
      </c>
      <c r="Q32" s="185">
        <v>0</v>
      </c>
      <c r="R32" s="185">
        <v>1</v>
      </c>
      <c r="T32" s="191">
        <f t="shared" si="3"/>
        <v>43161</v>
      </c>
      <c r="U32" s="185">
        <f t="shared" si="16"/>
        <v>0</v>
      </c>
      <c r="V32" s="185">
        <f t="shared" si="17"/>
        <v>0</v>
      </c>
      <c r="W32" s="185">
        <f t="shared" si="18"/>
        <v>0</v>
      </c>
      <c r="X32" s="185">
        <f t="shared" si="19"/>
        <v>0</v>
      </c>
      <c r="Y32" s="185">
        <f t="shared" si="20"/>
        <v>0</v>
      </c>
      <c r="Z32" s="185">
        <f t="shared" si="21"/>
        <v>0</v>
      </c>
      <c r="AA32" s="185">
        <f t="shared" si="22"/>
        <v>0</v>
      </c>
      <c r="AB32" s="185">
        <f t="shared" si="23"/>
        <v>0</v>
      </c>
      <c r="AC32" s="185">
        <f t="shared" si="24"/>
        <v>0</v>
      </c>
      <c r="AD32" s="185">
        <f t="shared" si="25"/>
        <v>0</v>
      </c>
      <c r="AF32" s="191">
        <f t="shared" si="5"/>
        <v>43161</v>
      </c>
      <c r="AG32" s="185">
        <f t="shared" si="6"/>
        <v>3.1329000000000002</v>
      </c>
      <c r="AH32" s="185">
        <f t="shared" si="7"/>
        <v>3.9203999999999999</v>
      </c>
      <c r="AI32" s="185">
        <f t="shared" si="8"/>
        <v>4.7961</v>
      </c>
      <c r="AJ32" s="185">
        <f t="shared" si="9"/>
        <v>5.5932250000000012</v>
      </c>
      <c r="AK32" s="185">
        <f t="shared" si="10"/>
        <v>6.2750249999999994</v>
      </c>
      <c r="AL32" s="185">
        <f t="shared" si="11"/>
        <v>6.8382250000000013</v>
      </c>
      <c r="AM32" s="185">
        <f t="shared" si="12"/>
        <v>7.3305562499999999</v>
      </c>
      <c r="AN32" s="185">
        <f t="shared" si="13"/>
        <v>7.5625</v>
      </c>
      <c r="AO32" s="185">
        <f t="shared" si="14"/>
        <v>8.2943999999999996</v>
      </c>
      <c r="AP32" s="185">
        <f t="shared" si="15"/>
        <v>8.7468062500000006</v>
      </c>
      <c r="AR32" s="185">
        <f t="shared" si="26"/>
        <v>6249.0137499999992</v>
      </c>
    </row>
    <row r="33" spans="3:44" s="181" customFormat="1">
      <c r="C33" s="190">
        <v>43168</v>
      </c>
      <c r="D33" s="188">
        <v>1.75</v>
      </c>
      <c r="E33" s="188">
        <v>1.95</v>
      </c>
      <c r="F33" s="188">
        <v>2.14</v>
      </c>
      <c r="G33" s="188">
        <v>2.3174999999999999</v>
      </c>
      <c r="H33" s="188">
        <v>2.4750000000000001</v>
      </c>
      <c r="I33" s="188">
        <v>2.5949999999999998</v>
      </c>
      <c r="J33" s="188">
        <v>2.7</v>
      </c>
      <c r="K33" s="188">
        <v>2.75</v>
      </c>
      <c r="L33" s="188">
        <v>2.88</v>
      </c>
      <c r="M33" s="188">
        <v>2.96</v>
      </c>
      <c r="O33" s="185">
        <v>0</v>
      </c>
      <c r="P33" s="185">
        <v>0</v>
      </c>
      <c r="Q33" s="185">
        <v>0</v>
      </c>
      <c r="R33" s="185">
        <v>1</v>
      </c>
      <c r="T33" s="191">
        <f t="shared" si="3"/>
        <v>43168</v>
      </c>
      <c r="U33" s="185">
        <f t="shared" si="16"/>
        <v>0</v>
      </c>
      <c r="V33" s="185">
        <f t="shared" si="17"/>
        <v>0</v>
      </c>
      <c r="W33" s="185">
        <f t="shared" si="18"/>
        <v>0</v>
      </c>
      <c r="X33" s="185">
        <f t="shared" si="19"/>
        <v>0</v>
      </c>
      <c r="Y33" s="185">
        <f t="shared" si="20"/>
        <v>0</v>
      </c>
      <c r="Z33" s="185">
        <f t="shared" si="21"/>
        <v>0</v>
      </c>
      <c r="AA33" s="185">
        <f t="shared" si="22"/>
        <v>0</v>
      </c>
      <c r="AB33" s="185">
        <f t="shared" si="23"/>
        <v>0</v>
      </c>
      <c r="AC33" s="185">
        <f t="shared" si="24"/>
        <v>0</v>
      </c>
      <c r="AD33" s="185">
        <f t="shared" si="25"/>
        <v>0</v>
      </c>
      <c r="AF33" s="191">
        <f t="shared" si="5"/>
        <v>43168</v>
      </c>
      <c r="AG33" s="185">
        <f t="shared" si="6"/>
        <v>3.0625</v>
      </c>
      <c r="AH33" s="185">
        <f t="shared" si="7"/>
        <v>3.8024999999999998</v>
      </c>
      <c r="AI33" s="185">
        <f t="shared" si="8"/>
        <v>4.5796000000000001</v>
      </c>
      <c r="AJ33" s="185">
        <f t="shared" si="9"/>
        <v>5.3708062499999993</v>
      </c>
      <c r="AK33" s="185">
        <f t="shared" si="10"/>
        <v>6.1256250000000003</v>
      </c>
      <c r="AL33" s="185">
        <f t="shared" si="11"/>
        <v>6.734024999999999</v>
      </c>
      <c r="AM33" s="185">
        <f t="shared" si="12"/>
        <v>7.2900000000000009</v>
      </c>
      <c r="AN33" s="185">
        <f t="shared" si="13"/>
        <v>7.5625</v>
      </c>
      <c r="AO33" s="185">
        <f t="shared" si="14"/>
        <v>8.2943999999999996</v>
      </c>
      <c r="AP33" s="185">
        <f t="shared" si="15"/>
        <v>8.7615999999999996</v>
      </c>
      <c r="AR33" s="185">
        <f t="shared" si="26"/>
        <v>6158.3556250000001</v>
      </c>
    </row>
    <row r="34" spans="3:44" s="181" customFormat="1">
      <c r="C34" s="190">
        <v>43175</v>
      </c>
      <c r="D34" s="188">
        <v>1.72</v>
      </c>
      <c r="E34" s="188">
        <v>1.8774999999999999</v>
      </c>
      <c r="F34" s="188">
        <v>2.0619999999999998</v>
      </c>
      <c r="G34" s="188">
        <v>2.2524999999999999</v>
      </c>
      <c r="H34" s="188">
        <v>2.3975</v>
      </c>
      <c r="I34" s="188">
        <v>2.5225</v>
      </c>
      <c r="J34" s="188">
        <v>2.6274999999999999</v>
      </c>
      <c r="K34" s="188">
        <v>2.75</v>
      </c>
      <c r="L34" s="188">
        <v>2.8075000000000001</v>
      </c>
      <c r="M34" s="188">
        <v>2.8875000000000002</v>
      </c>
      <c r="O34" s="185">
        <v>0</v>
      </c>
      <c r="P34" s="185">
        <v>0</v>
      </c>
      <c r="Q34" s="185">
        <v>0</v>
      </c>
      <c r="R34" s="185">
        <v>1</v>
      </c>
      <c r="T34" s="191">
        <f t="shared" si="3"/>
        <v>43175</v>
      </c>
      <c r="U34" s="185">
        <f t="shared" si="16"/>
        <v>0</v>
      </c>
      <c r="V34" s="185">
        <f t="shared" si="17"/>
        <v>0</v>
      </c>
      <c r="W34" s="185">
        <f t="shared" si="18"/>
        <v>0</v>
      </c>
      <c r="X34" s="185">
        <f t="shared" si="19"/>
        <v>0</v>
      </c>
      <c r="Y34" s="185">
        <f t="shared" si="20"/>
        <v>0</v>
      </c>
      <c r="Z34" s="185">
        <f t="shared" si="21"/>
        <v>0</v>
      </c>
      <c r="AA34" s="185">
        <f t="shared" si="22"/>
        <v>0</v>
      </c>
      <c r="AB34" s="185">
        <f t="shared" si="23"/>
        <v>0</v>
      </c>
      <c r="AC34" s="185">
        <f t="shared" si="24"/>
        <v>0</v>
      </c>
      <c r="AD34" s="185">
        <f t="shared" si="25"/>
        <v>0</v>
      </c>
      <c r="AF34" s="191">
        <f t="shared" si="5"/>
        <v>43175</v>
      </c>
      <c r="AG34" s="185">
        <f t="shared" si="6"/>
        <v>2.9583999999999997</v>
      </c>
      <c r="AH34" s="185">
        <f t="shared" si="7"/>
        <v>3.5250062499999997</v>
      </c>
      <c r="AI34" s="185">
        <f t="shared" si="8"/>
        <v>4.2518439999999993</v>
      </c>
      <c r="AJ34" s="185">
        <f t="shared" si="9"/>
        <v>5.0737562499999997</v>
      </c>
      <c r="AK34" s="185">
        <f t="shared" si="10"/>
        <v>5.7480062499999995</v>
      </c>
      <c r="AL34" s="185">
        <f t="shared" si="11"/>
        <v>6.3630062499999998</v>
      </c>
      <c r="AM34" s="185">
        <f t="shared" si="12"/>
        <v>6.9037562499999998</v>
      </c>
      <c r="AN34" s="185">
        <f t="shared" si="13"/>
        <v>7.5625</v>
      </c>
      <c r="AO34" s="185">
        <f t="shared" si="14"/>
        <v>7.8820562500000007</v>
      </c>
      <c r="AP34" s="185">
        <f t="shared" si="15"/>
        <v>8.3376562500000002</v>
      </c>
      <c r="AR34" s="185">
        <f t="shared" si="26"/>
        <v>5860.5987749999995</v>
      </c>
    </row>
    <row r="35" spans="3:44" s="181" customFormat="1">
      <c r="C35" s="190">
        <v>43182</v>
      </c>
      <c r="D35" s="188">
        <v>1.7250000000000001</v>
      </c>
      <c r="E35" s="188">
        <v>1.895</v>
      </c>
      <c r="F35" s="188">
        <v>2.0724999999999998</v>
      </c>
      <c r="G35" s="188">
        <v>2.25</v>
      </c>
      <c r="H35" s="188">
        <v>2.3975</v>
      </c>
      <c r="I35" s="188">
        <v>2.5225</v>
      </c>
      <c r="J35" s="188">
        <v>2.6225000000000001</v>
      </c>
      <c r="K35" s="188">
        <v>2.75</v>
      </c>
      <c r="L35" s="188">
        <v>2.8075000000000001</v>
      </c>
      <c r="M35" s="188">
        <v>2.8875000000000002</v>
      </c>
      <c r="O35" s="185">
        <v>0</v>
      </c>
      <c r="P35" s="185">
        <v>0</v>
      </c>
      <c r="Q35" s="185">
        <v>0</v>
      </c>
      <c r="R35" s="185">
        <v>1</v>
      </c>
      <c r="T35" s="191">
        <f t="shared" si="3"/>
        <v>43182</v>
      </c>
      <c r="U35" s="185">
        <f t="shared" si="16"/>
        <v>0</v>
      </c>
      <c r="V35" s="185">
        <f t="shared" si="17"/>
        <v>0</v>
      </c>
      <c r="W35" s="185">
        <f t="shared" si="18"/>
        <v>0</v>
      </c>
      <c r="X35" s="185">
        <f t="shared" si="19"/>
        <v>0</v>
      </c>
      <c r="Y35" s="185">
        <f t="shared" si="20"/>
        <v>0</v>
      </c>
      <c r="Z35" s="185">
        <f t="shared" si="21"/>
        <v>0</v>
      </c>
      <c r="AA35" s="185">
        <f t="shared" si="22"/>
        <v>0</v>
      </c>
      <c r="AB35" s="185">
        <f t="shared" si="23"/>
        <v>0</v>
      </c>
      <c r="AC35" s="185">
        <f t="shared" si="24"/>
        <v>0</v>
      </c>
      <c r="AD35" s="185">
        <f t="shared" si="25"/>
        <v>0</v>
      </c>
      <c r="AF35" s="191">
        <f t="shared" si="5"/>
        <v>43182</v>
      </c>
      <c r="AG35" s="185">
        <f t="shared" si="6"/>
        <v>2.9756250000000004</v>
      </c>
      <c r="AH35" s="185">
        <f t="shared" si="7"/>
        <v>3.5910250000000001</v>
      </c>
      <c r="AI35" s="185">
        <f t="shared" si="8"/>
        <v>4.2952562499999996</v>
      </c>
      <c r="AJ35" s="185">
        <f t="shared" si="9"/>
        <v>5.0625</v>
      </c>
      <c r="AK35" s="185">
        <f t="shared" si="10"/>
        <v>5.7480062499999995</v>
      </c>
      <c r="AL35" s="185">
        <f t="shared" si="11"/>
        <v>6.3630062499999998</v>
      </c>
      <c r="AM35" s="185">
        <f t="shared" si="12"/>
        <v>6.8775062500000006</v>
      </c>
      <c r="AN35" s="185">
        <f t="shared" si="13"/>
        <v>7.5625</v>
      </c>
      <c r="AO35" s="185">
        <f t="shared" si="14"/>
        <v>7.8820562500000007</v>
      </c>
      <c r="AP35" s="185">
        <f t="shared" si="15"/>
        <v>8.3376562500000002</v>
      </c>
      <c r="AR35" s="185">
        <f t="shared" si="26"/>
        <v>5869.5137500000001</v>
      </c>
    </row>
    <row r="36" spans="3:44" s="181" customFormat="1">
      <c r="C36" s="190">
        <v>43189</v>
      </c>
      <c r="D36" s="188">
        <v>1.726</v>
      </c>
      <c r="E36" s="188">
        <v>1.875</v>
      </c>
      <c r="F36" s="188">
        <v>2.0550000000000002</v>
      </c>
      <c r="G36" s="188">
        <v>2.2200000000000002</v>
      </c>
      <c r="H36" s="188">
        <v>2.37</v>
      </c>
      <c r="I36" s="188">
        <v>2.5</v>
      </c>
      <c r="J36" s="188">
        <v>2.61</v>
      </c>
      <c r="K36" s="188">
        <v>2.75</v>
      </c>
      <c r="L36" s="188">
        <v>2.7880000000000003</v>
      </c>
      <c r="M36" s="188">
        <v>2.8620000000000001</v>
      </c>
      <c r="O36" s="185">
        <v>0</v>
      </c>
      <c r="P36" s="185">
        <v>0</v>
      </c>
      <c r="Q36" s="185">
        <v>0</v>
      </c>
      <c r="R36" s="185">
        <v>1</v>
      </c>
      <c r="T36" s="191">
        <f t="shared" si="3"/>
        <v>43189</v>
      </c>
      <c r="U36" s="185">
        <f t="shared" si="16"/>
        <v>0</v>
      </c>
      <c r="V36" s="185">
        <f t="shared" si="17"/>
        <v>0</v>
      </c>
      <c r="W36" s="185">
        <f t="shared" si="18"/>
        <v>0</v>
      </c>
      <c r="X36" s="185">
        <f t="shared" si="19"/>
        <v>0</v>
      </c>
      <c r="Y36" s="185">
        <f t="shared" si="20"/>
        <v>0</v>
      </c>
      <c r="Z36" s="185">
        <f t="shared" si="21"/>
        <v>0</v>
      </c>
      <c r="AA36" s="185">
        <f t="shared" si="22"/>
        <v>0</v>
      </c>
      <c r="AB36" s="185">
        <f t="shared" si="23"/>
        <v>0</v>
      </c>
      <c r="AC36" s="185">
        <f t="shared" si="24"/>
        <v>0</v>
      </c>
      <c r="AD36" s="185">
        <f t="shared" si="25"/>
        <v>0</v>
      </c>
      <c r="AF36" s="191">
        <f t="shared" si="5"/>
        <v>43189</v>
      </c>
      <c r="AG36" s="185">
        <f t="shared" si="6"/>
        <v>2.9790760000000001</v>
      </c>
      <c r="AH36" s="185">
        <f t="shared" si="7"/>
        <v>3.515625</v>
      </c>
      <c r="AI36" s="185">
        <f t="shared" si="8"/>
        <v>4.2230250000000007</v>
      </c>
      <c r="AJ36" s="185">
        <f t="shared" si="9"/>
        <v>4.9284000000000008</v>
      </c>
      <c r="AK36" s="185">
        <f t="shared" si="10"/>
        <v>5.6169000000000002</v>
      </c>
      <c r="AL36" s="185">
        <f t="shared" si="11"/>
        <v>6.25</v>
      </c>
      <c r="AM36" s="185">
        <f t="shared" si="12"/>
        <v>6.8120999999999992</v>
      </c>
      <c r="AN36" s="185">
        <f t="shared" si="13"/>
        <v>7.5625</v>
      </c>
      <c r="AO36" s="185">
        <f t="shared" si="14"/>
        <v>7.7729440000000016</v>
      </c>
      <c r="AP36" s="185">
        <f t="shared" si="15"/>
        <v>8.1910439999999998</v>
      </c>
      <c r="AR36" s="185">
        <f t="shared" si="26"/>
        <v>5785.1614000000009</v>
      </c>
    </row>
    <row r="37" spans="3:44" s="181" customFormat="1">
      <c r="C37" s="190">
        <v>43196</v>
      </c>
      <c r="D37" s="188">
        <v>1.7250000000000001</v>
      </c>
      <c r="E37" s="188">
        <v>1.865</v>
      </c>
      <c r="F37" s="188">
        <v>2.0299999999999998</v>
      </c>
      <c r="G37" s="188">
        <v>2.1974999999999998</v>
      </c>
      <c r="H37" s="188">
        <v>2.35</v>
      </c>
      <c r="I37" s="188">
        <v>2.4725000000000001</v>
      </c>
      <c r="J37" s="188">
        <v>2.5750000000000002</v>
      </c>
      <c r="K37" s="188">
        <v>2.75</v>
      </c>
      <c r="L37" s="188">
        <v>2.7425000000000002</v>
      </c>
      <c r="M37" s="188">
        <v>2.8325</v>
      </c>
      <c r="O37" s="185">
        <v>0</v>
      </c>
      <c r="P37" s="185">
        <v>0</v>
      </c>
      <c r="Q37" s="185">
        <v>0</v>
      </c>
      <c r="R37" s="185">
        <v>1</v>
      </c>
      <c r="T37" s="191">
        <f t="shared" si="3"/>
        <v>43196</v>
      </c>
      <c r="U37" s="185">
        <f t="shared" si="16"/>
        <v>0</v>
      </c>
      <c r="V37" s="185">
        <f t="shared" si="17"/>
        <v>0</v>
      </c>
      <c r="W37" s="185">
        <f t="shared" si="18"/>
        <v>0</v>
      </c>
      <c r="X37" s="185">
        <f t="shared" si="19"/>
        <v>0</v>
      </c>
      <c r="Y37" s="185">
        <f t="shared" si="20"/>
        <v>0</v>
      </c>
      <c r="Z37" s="185">
        <f t="shared" si="21"/>
        <v>0</v>
      </c>
      <c r="AA37" s="185">
        <f t="shared" si="22"/>
        <v>0</v>
      </c>
      <c r="AB37" s="185">
        <f t="shared" si="23"/>
        <v>0</v>
      </c>
      <c r="AC37" s="185">
        <f t="shared" si="24"/>
        <v>0</v>
      </c>
      <c r="AD37" s="185">
        <f t="shared" si="25"/>
        <v>0</v>
      </c>
      <c r="AF37" s="191">
        <f t="shared" si="5"/>
        <v>43196</v>
      </c>
      <c r="AG37" s="185">
        <f t="shared" si="6"/>
        <v>2.9756250000000004</v>
      </c>
      <c r="AH37" s="185">
        <f t="shared" si="7"/>
        <v>3.4782250000000001</v>
      </c>
      <c r="AI37" s="185">
        <f t="shared" si="8"/>
        <v>4.1208999999999989</v>
      </c>
      <c r="AJ37" s="185">
        <f t="shared" si="9"/>
        <v>4.8290062499999991</v>
      </c>
      <c r="AK37" s="185">
        <f t="shared" si="10"/>
        <v>5.5225000000000009</v>
      </c>
      <c r="AL37" s="185">
        <f t="shared" si="11"/>
        <v>6.1132562500000009</v>
      </c>
      <c r="AM37" s="185">
        <f t="shared" si="12"/>
        <v>6.6306250000000011</v>
      </c>
      <c r="AN37" s="185">
        <f t="shared" si="13"/>
        <v>7.5625</v>
      </c>
      <c r="AO37" s="185">
        <f t="shared" si="14"/>
        <v>7.5213062500000012</v>
      </c>
      <c r="AP37" s="185">
        <f t="shared" si="15"/>
        <v>8.0230562499999998</v>
      </c>
      <c r="AR37" s="185">
        <f t="shared" si="26"/>
        <v>5677.7</v>
      </c>
    </row>
    <row r="38" spans="3:44">
      <c r="P38" s="184"/>
      <c r="Q38" s="184"/>
      <c r="R38" s="184"/>
    </row>
  </sheetData>
  <mergeCells count="5">
    <mergeCell ref="C17:M17"/>
    <mergeCell ref="O17:R17"/>
    <mergeCell ref="T17:AD17"/>
    <mergeCell ref="AF17:AR17"/>
    <mergeCell ref="C1:K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85D3-079B-4053-A043-B5BBE2612503}">
  <sheetPr codeName="Arkusz6"/>
  <dimension ref="B1:CM59"/>
  <sheetViews>
    <sheetView topLeftCell="B1" workbookViewId="0">
      <selection activeCell="D6" sqref="D6:D7"/>
    </sheetView>
  </sheetViews>
  <sheetFormatPr defaultRowHeight="15"/>
  <cols>
    <col min="2" max="2" width="60.7109375" customWidth="1"/>
    <col min="3" max="3" width="12.7109375" customWidth="1"/>
  </cols>
  <sheetData>
    <row r="1" spans="2:91" ht="15.75">
      <c r="B1" s="236" t="s">
        <v>0</v>
      </c>
      <c r="C1" s="236"/>
      <c r="D1" s="236"/>
      <c r="E1" s="236"/>
      <c r="F1" s="236"/>
      <c r="G1" s="236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75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</row>
    <row r="2" spans="2:91" ht="15.75">
      <c r="B2" s="63" t="s">
        <v>1</v>
      </c>
      <c r="C2" s="64">
        <v>44558</v>
      </c>
      <c r="D2" s="20"/>
      <c r="E2" s="20"/>
      <c r="F2" s="241" t="s">
        <v>2</v>
      </c>
      <c r="G2" s="241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41" t="s">
        <v>2</v>
      </c>
      <c r="BZ2" s="241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</row>
    <row r="3" spans="2:91" ht="16.5" thickBot="1">
      <c r="B3" s="21" t="s">
        <v>3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75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</row>
    <row r="4" spans="2:91">
      <c r="B4" s="237" t="s">
        <v>4</v>
      </c>
      <c r="C4" s="238"/>
      <c r="D4" s="217">
        <v>2000</v>
      </c>
      <c r="E4" s="217"/>
      <c r="F4" s="217"/>
      <c r="G4" s="217"/>
      <c r="H4" s="217">
        <v>2001</v>
      </c>
      <c r="I4" s="217"/>
      <c r="J4" s="217"/>
      <c r="K4" s="217"/>
      <c r="L4" s="217">
        <v>2002</v>
      </c>
      <c r="M4" s="217"/>
      <c r="N4" s="217"/>
      <c r="O4" s="217"/>
      <c r="P4" s="217">
        <v>2003</v>
      </c>
      <c r="Q4" s="217"/>
      <c r="R4" s="217"/>
      <c r="S4" s="217"/>
      <c r="T4" s="217">
        <v>2004</v>
      </c>
      <c r="U4" s="217"/>
      <c r="V4" s="217"/>
      <c r="W4" s="217"/>
      <c r="X4" s="217">
        <v>2005</v>
      </c>
      <c r="Y4" s="217"/>
      <c r="Z4" s="217"/>
      <c r="AA4" s="217"/>
      <c r="AB4" s="217">
        <v>2006</v>
      </c>
      <c r="AC4" s="217"/>
      <c r="AD4" s="217"/>
      <c r="AE4" s="217"/>
      <c r="AF4" s="217">
        <v>2007</v>
      </c>
      <c r="AG4" s="217"/>
      <c r="AH4" s="217"/>
      <c r="AI4" s="218"/>
      <c r="AJ4" s="217">
        <v>2008</v>
      </c>
      <c r="AK4" s="217"/>
      <c r="AL4" s="217"/>
      <c r="AM4" s="218"/>
      <c r="AN4" s="217">
        <v>2009</v>
      </c>
      <c r="AO4" s="217"/>
      <c r="AP4" s="217"/>
      <c r="AQ4" s="217"/>
      <c r="AR4" s="217">
        <v>2010</v>
      </c>
      <c r="AS4" s="217"/>
      <c r="AT4" s="217"/>
      <c r="AU4" s="217"/>
      <c r="AV4" s="233">
        <v>2011</v>
      </c>
      <c r="AW4" s="217"/>
      <c r="AX4" s="217"/>
      <c r="AY4" s="218"/>
      <c r="AZ4" s="217">
        <v>2012</v>
      </c>
      <c r="BA4" s="217"/>
      <c r="BB4" s="217"/>
      <c r="BC4" s="218"/>
      <c r="BD4" s="217">
        <v>2013</v>
      </c>
      <c r="BE4" s="217"/>
      <c r="BF4" s="217"/>
      <c r="BG4" s="218"/>
      <c r="BH4" s="217">
        <v>2014</v>
      </c>
      <c r="BI4" s="217"/>
      <c r="BJ4" s="217"/>
      <c r="BK4" s="218"/>
      <c r="BL4" s="217">
        <v>2015</v>
      </c>
      <c r="BM4" s="217"/>
      <c r="BN4" s="217"/>
      <c r="BO4" s="218"/>
      <c r="BP4" s="217">
        <v>2016</v>
      </c>
      <c r="BQ4" s="217"/>
      <c r="BR4" s="217"/>
      <c r="BS4" s="218"/>
      <c r="BT4" s="217">
        <v>2017</v>
      </c>
      <c r="BU4" s="217"/>
      <c r="BV4" s="217"/>
      <c r="BW4" s="217"/>
      <c r="BX4" s="217">
        <v>2018</v>
      </c>
      <c r="BY4" s="217"/>
      <c r="BZ4" s="217"/>
      <c r="CA4" s="218"/>
      <c r="CB4" s="217">
        <v>2019</v>
      </c>
      <c r="CC4" s="217"/>
      <c r="CD4" s="217"/>
      <c r="CE4" s="218"/>
      <c r="CF4" s="217">
        <v>2020</v>
      </c>
      <c r="CG4" s="217"/>
      <c r="CH4" s="217"/>
      <c r="CI4" s="218"/>
      <c r="CJ4" s="217">
        <v>2021</v>
      </c>
      <c r="CK4" s="217"/>
      <c r="CL4" s="217"/>
      <c r="CM4" s="249"/>
    </row>
    <row r="5" spans="2:91" ht="15.75" thickBot="1">
      <c r="B5" s="239"/>
      <c r="C5" s="240"/>
      <c r="D5" s="161" t="s">
        <v>5</v>
      </c>
      <c r="E5" s="161" t="s">
        <v>6</v>
      </c>
      <c r="F5" s="161" t="s">
        <v>7</v>
      </c>
      <c r="G5" s="161" t="s">
        <v>8</v>
      </c>
      <c r="H5" s="161" t="s">
        <v>5</v>
      </c>
      <c r="I5" s="161" t="s">
        <v>6</v>
      </c>
      <c r="J5" s="161" t="s">
        <v>7</v>
      </c>
      <c r="K5" s="161" t="s">
        <v>8</v>
      </c>
      <c r="L5" s="161" t="s">
        <v>5</v>
      </c>
      <c r="M5" s="161" t="s">
        <v>6</v>
      </c>
      <c r="N5" s="161" t="s">
        <v>7</v>
      </c>
      <c r="O5" s="161" t="s">
        <v>8</v>
      </c>
      <c r="P5" s="161" t="s">
        <v>5</v>
      </c>
      <c r="Q5" s="161" t="s">
        <v>6</v>
      </c>
      <c r="R5" s="161" t="s">
        <v>7</v>
      </c>
      <c r="S5" s="161" t="s">
        <v>8</v>
      </c>
      <c r="T5" s="161" t="s">
        <v>5</v>
      </c>
      <c r="U5" s="161" t="s">
        <v>6</v>
      </c>
      <c r="V5" s="161" t="s">
        <v>7</v>
      </c>
      <c r="W5" s="161" t="s">
        <v>8</v>
      </c>
      <c r="X5" s="161" t="s">
        <v>5</v>
      </c>
      <c r="Y5" s="161" t="s">
        <v>6</v>
      </c>
      <c r="Z5" s="161" t="s">
        <v>7</v>
      </c>
      <c r="AA5" s="161" t="s">
        <v>8</v>
      </c>
      <c r="AB5" s="161" t="s">
        <v>5</v>
      </c>
      <c r="AC5" s="161" t="s">
        <v>6</v>
      </c>
      <c r="AD5" s="161" t="s">
        <v>7</v>
      </c>
      <c r="AE5" s="161" t="s">
        <v>8</v>
      </c>
      <c r="AF5" s="161" t="s">
        <v>5</v>
      </c>
      <c r="AG5" s="161" t="s">
        <v>6</v>
      </c>
      <c r="AH5" s="161" t="s">
        <v>7</v>
      </c>
      <c r="AI5" s="161" t="s">
        <v>8</v>
      </c>
      <c r="AJ5" s="161" t="s">
        <v>5</v>
      </c>
      <c r="AK5" s="161" t="s">
        <v>6</v>
      </c>
      <c r="AL5" s="161" t="s">
        <v>7</v>
      </c>
      <c r="AM5" s="161" t="s">
        <v>8</v>
      </c>
      <c r="AN5" s="161" t="s">
        <v>5</v>
      </c>
      <c r="AO5" s="161" t="s">
        <v>6</v>
      </c>
      <c r="AP5" s="161" t="s">
        <v>7</v>
      </c>
      <c r="AQ5" s="161" t="s">
        <v>8</v>
      </c>
      <c r="AR5" s="161" t="s">
        <v>5</v>
      </c>
      <c r="AS5" s="161" t="s">
        <v>6</v>
      </c>
      <c r="AT5" s="161" t="s">
        <v>7</v>
      </c>
      <c r="AU5" s="161" t="s">
        <v>8</v>
      </c>
      <c r="AV5" s="161" t="s">
        <v>5</v>
      </c>
      <c r="AW5" s="161" t="s">
        <v>6</v>
      </c>
      <c r="AX5" s="161" t="s">
        <v>7</v>
      </c>
      <c r="AY5" s="161" t="s">
        <v>8</v>
      </c>
      <c r="AZ5" s="161" t="s">
        <v>5</v>
      </c>
      <c r="BA5" s="161" t="s">
        <v>6</v>
      </c>
      <c r="BB5" s="161" t="s">
        <v>7</v>
      </c>
      <c r="BC5" s="161" t="s">
        <v>8</v>
      </c>
      <c r="BD5" s="161" t="s">
        <v>5</v>
      </c>
      <c r="BE5" s="161" t="s">
        <v>6</v>
      </c>
      <c r="BF5" s="161" t="s">
        <v>7</v>
      </c>
      <c r="BG5" s="161" t="s">
        <v>8</v>
      </c>
      <c r="BH5" s="161" t="s">
        <v>5</v>
      </c>
      <c r="BI5" s="161" t="s">
        <v>6</v>
      </c>
      <c r="BJ5" s="161" t="s">
        <v>7</v>
      </c>
      <c r="BK5" s="161" t="s">
        <v>8</v>
      </c>
      <c r="BL5" s="161" t="s">
        <v>5</v>
      </c>
      <c r="BM5" s="161" t="s">
        <v>6</v>
      </c>
      <c r="BN5" s="161" t="s">
        <v>7</v>
      </c>
      <c r="BO5" s="161" t="s">
        <v>8</v>
      </c>
      <c r="BP5" s="161" t="s">
        <v>5</v>
      </c>
      <c r="BQ5" s="161" t="s">
        <v>6</v>
      </c>
      <c r="BR5" s="161" t="s">
        <v>7</v>
      </c>
      <c r="BS5" s="161" t="s">
        <v>8</v>
      </c>
      <c r="BT5" s="161" t="s">
        <v>5</v>
      </c>
      <c r="BU5" s="161" t="s">
        <v>6</v>
      </c>
      <c r="BV5" s="161" t="s">
        <v>7</v>
      </c>
      <c r="BW5" s="161" t="s">
        <v>8</v>
      </c>
      <c r="BX5" s="161" t="s">
        <v>5</v>
      </c>
      <c r="BY5" s="161" t="s">
        <v>6</v>
      </c>
      <c r="BZ5" s="161" t="s">
        <v>7</v>
      </c>
      <c r="CA5" s="161" t="s">
        <v>8</v>
      </c>
      <c r="CB5" s="161" t="s">
        <v>5</v>
      </c>
      <c r="CC5" s="161" t="s">
        <v>6</v>
      </c>
      <c r="CD5" s="161" t="s">
        <v>7</v>
      </c>
      <c r="CE5" s="161" t="s">
        <v>8</v>
      </c>
      <c r="CF5" s="161" t="s">
        <v>5</v>
      </c>
      <c r="CG5" s="161" t="s">
        <v>6</v>
      </c>
      <c r="CH5" s="161" t="s">
        <v>7</v>
      </c>
      <c r="CI5" s="161" t="s">
        <v>8</v>
      </c>
      <c r="CJ5" s="161" t="s">
        <v>5</v>
      </c>
      <c r="CK5" s="161" t="s">
        <v>6</v>
      </c>
      <c r="CL5" s="161" t="s">
        <v>7</v>
      </c>
      <c r="CM5" s="171" t="s">
        <v>8</v>
      </c>
    </row>
    <row r="6" spans="2:91">
      <c r="B6" s="122" t="s">
        <v>3</v>
      </c>
      <c r="C6" s="123"/>
      <c r="D6" s="247">
        <v>1868.65</v>
      </c>
      <c r="E6" s="242">
        <v>1869.78</v>
      </c>
      <c r="F6" s="242">
        <v>1905.76</v>
      </c>
      <c r="G6" s="242">
        <v>2051.7399999999998</v>
      </c>
      <c r="H6" s="242">
        <v>2043.55</v>
      </c>
      <c r="I6" s="242">
        <v>2006.92</v>
      </c>
      <c r="J6" s="242">
        <v>2047.29</v>
      </c>
      <c r="K6" s="242">
        <v>2152.9899999999998</v>
      </c>
      <c r="L6" s="242">
        <v>2155.54</v>
      </c>
      <c r="M6" s="242">
        <v>2061.9499999999998</v>
      </c>
      <c r="N6" s="242">
        <v>2095.81</v>
      </c>
      <c r="O6" s="242">
        <v>2225.41</v>
      </c>
      <c r="P6" s="242">
        <v>2228.6799999999998</v>
      </c>
      <c r="Q6" s="242">
        <v>2141.0100000000002</v>
      </c>
      <c r="R6" s="242">
        <v>2160.02</v>
      </c>
      <c r="S6" s="242">
        <v>2276.84</v>
      </c>
      <c r="T6" s="242">
        <v>2332.17</v>
      </c>
      <c r="U6" s="242">
        <v>2230.5300000000002</v>
      </c>
      <c r="V6" s="242">
        <v>2269.9299999999998</v>
      </c>
      <c r="W6" s="242">
        <v>2405.46</v>
      </c>
      <c r="X6" s="242">
        <v>2415.4499999999998</v>
      </c>
      <c r="Y6" s="242">
        <v>2318.5300000000002</v>
      </c>
      <c r="Z6" s="242">
        <v>2347.2399999999998</v>
      </c>
      <c r="AA6" s="242">
        <v>2528.62</v>
      </c>
      <c r="AB6" s="242">
        <v>2530.1799999999998</v>
      </c>
      <c r="AC6" s="242">
        <v>2427.27</v>
      </c>
      <c r="AD6" s="242">
        <v>2464.66</v>
      </c>
      <c r="AE6" s="242">
        <v>2662.51</v>
      </c>
      <c r="AF6" s="244">
        <v>2709.14</v>
      </c>
      <c r="AG6" s="244">
        <v>2644.34</v>
      </c>
      <c r="AH6" s="244">
        <v>2703.41</v>
      </c>
      <c r="AI6" s="244">
        <v>2899.83</v>
      </c>
      <c r="AJ6" s="244">
        <v>2983.98</v>
      </c>
      <c r="AK6" s="244">
        <v>2951.36</v>
      </c>
      <c r="AL6" s="227">
        <v>2968.55</v>
      </c>
      <c r="AM6" s="227">
        <v>3096.55</v>
      </c>
      <c r="AN6" s="227">
        <v>3185.61</v>
      </c>
      <c r="AO6" s="223">
        <v>3081.48</v>
      </c>
      <c r="AP6" s="223">
        <v>3113.86</v>
      </c>
      <c r="AQ6" s="223">
        <v>3243.6</v>
      </c>
      <c r="AR6" s="227">
        <v>3316.38</v>
      </c>
      <c r="AS6" s="223">
        <v>3197.85</v>
      </c>
      <c r="AT6" s="223">
        <v>3203.08</v>
      </c>
      <c r="AU6" s="223">
        <v>3438.21</v>
      </c>
      <c r="AV6" s="234">
        <v>3466.33</v>
      </c>
      <c r="AW6" s="223">
        <v>3366.11</v>
      </c>
      <c r="AX6" s="223">
        <v>3416</v>
      </c>
      <c r="AY6" s="231">
        <v>3586.75</v>
      </c>
      <c r="AZ6" s="227">
        <v>3646.09</v>
      </c>
      <c r="BA6" s="223">
        <v>3496.82</v>
      </c>
      <c r="BB6" s="223">
        <v>3510.22</v>
      </c>
      <c r="BC6" s="231">
        <v>3690.3</v>
      </c>
      <c r="BD6" s="227">
        <v>3740.05</v>
      </c>
      <c r="BE6" s="223">
        <v>3612.51</v>
      </c>
      <c r="BF6" s="223">
        <v>3651.72</v>
      </c>
      <c r="BG6" s="223">
        <v>3823.32</v>
      </c>
      <c r="BH6" s="227">
        <v>3895.31</v>
      </c>
      <c r="BI6" s="223">
        <v>3739.97</v>
      </c>
      <c r="BJ6" s="223">
        <v>3781.14</v>
      </c>
      <c r="BK6" s="231">
        <v>3942.67</v>
      </c>
      <c r="BL6" s="221">
        <v>4054.89</v>
      </c>
      <c r="BM6" s="223">
        <v>3854.88</v>
      </c>
      <c r="BN6" s="225">
        <v>3895.33</v>
      </c>
      <c r="BO6" s="229">
        <v>4066.95</v>
      </c>
      <c r="BP6" s="221">
        <v>4181.49</v>
      </c>
      <c r="BQ6" s="223">
        <v>4019.08</v>
      </c>
      <c r="BR6" s="225">
        <v>4055.04</v>
      </c>
      <c r="BS6" s="229">
        <v>4218.92</v>
      </c>
      <c r="BT6" s="221">
        <v>4353.55</v>
      </c>
      <c r="BU6" s="223">
        <v>4220.6899999999996</v>
      </c>
      <c r="BV6" s="225">
        <v>4255.59</v>
      </c>
      <c r="BW6" s="225">
        <v>4516.6899999999996</v>
      </c>
      <c r="BX6" s="219">
        <v>4622.84</v>
      </c>
      <c r="BY6" s="219">
        <v>4521.08</v>
      </c>
      <c r="BZ6" s="219">
        <v>4580.2</v>
      </c>
      <c r="CA6" s="219">
        <v>4863.74</v>
      </c>
      <c r="CB6" s="219">
        <v>4950.9399999999996</v>
      </c>
      <c r="CC6" s="219">
        <v>4839.24</v>
      </c>
      <c r="CD6" s="219">
        <v>4931.59</v>
      </c>
      <c r="CE6" s="219">
        <v>5198.58</v>
      </c>
      <c r="CF6" s="219">
        <v>5331.47</v>
      </c>
      <c r="CG6" s="219">
        <v>5024.4799999999996</v>
      </c>
      <c r="CH6" s="219">
        <v>5168.93</v>
      </c>
      <c r="CI6" s="256">
        <v>5457.98</v>
      </c>
      <c r="CJ6" s="250">
        <v>5681.56</v>
      </c>
      <c r="CK6" s="219">
        <v>5504.52</v>
      </c>
      <c r="CL6" s="252">
        <v>5657.3</v>
      </c>
      <c r="CM6" s="254"/>
    </row>
    <row r="7" spans="2:91" ht="27.75">
      <c r="B7" s="124" t="s">
        <v>9</v>
      </c>
      <c r="C7" s="125" t="s">
        <v>10</v>
      </c>
      <c r="D7" s="248"/>
      <c r="E7" s="243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  <c r="AA7" s="243"/>
      <c r="AB7" s="243"/>
      <c r="AC7" s="243"/>
      <c r="AD7" s="243"/>
      <c r="AE7" s="243"/>
      <c r="AF7" s="245"/>
      <c r="AG7" s="245"/>
      <c r="AH7" s="245"/>
      <c r="AI7" s="245"/>
      <c r="AJ7" s="245"/>
      <c r="AK7" s="245"/>
      <c r="AL7" s="228"/>
      <c r="AM7" s="228"/>
      <c r="AN7" s="228"/>
      <c r="AO7" s="224"/>
      <c r="AP7" s="224"/>
      <c r="AQ7" s="224"/>
      <c r="AR7" s="228"/>
      <c r="AS7" s="224"/>
      <c r="AT7" s="224"/>
      <c r="AU7" s="224"/>
      <c r="AV7" s="235"/>
      <c r="AW7" s="224"/>
      <c r="AX7" s="224"/>
      <c r="AY7" s="232"/>
      <c r="AZ7" s="228"/>
      <c r="BA7" s="224"/>
      <c r="BB7" s="224"/>
      <c r="BC7" s="232"/>
      <c r="BD7" s="228"/>
      <c r="BE7" s="224"/>
      <c r="BF7" s="224"/>
      <c r="BG7" s="224"/>
      <c r="BH7" s="228"/>
      <c r="BI7" s="224"/>
      <c r="BJ7" s="224"/>
      <c r="BK7" s="232"/>
      <c r="BL7" s="222"/>
      <c r="BM7" s="224"/>
      <c r="BN7" s="226"/>
      <c r="BO7" s="230"/>
      <c r="BP7" s="222"/>
      <c r="BQ7" s="224"/>
      <c r="BR7" s="226"/>
      <c r="BS7" s="230"/>
      <c r="BT7" s="222"/>
      <c r="BU7" s="224"/>
      <c r="BV7" s="226"/>
      <c r="BW7" s="226"/>
      <c r="BX7" s="220"/>
      <c r="BY7" s="220"/>
      <c r="BZ7" s="220"/>
      <c r="CA7" s="220"/>
      <c r="CB7" s="220"/>
      <c r="CC7" s="220"/>
      <c r="CD7" s="220"/>
      <c r="CE7" s="220"/>
      <c r="CF7" s="220"/>
      <c r="CG7" s="220"/>
      <c r="CH7" s="220"/>
      <c r="CI7" s="257"/>
      <c r="CJ7" s="251"/>
      <c r="CK7" s="220"/>
      <c r="CL7" s="253"/>
      <c r="CM7" s="255"/>
    </row>
    <row r="8" spans="2:91">
      <c r="B8" s="126"/>
      <c r="C8" s="127" t="s">
        <v>11</v>
      </c>
      <c r="D8" s="62">
        <v>115.5</v>
      </c>
      <c r="E8" s="2">
        <v>112.6</v>
      </c>
      <c r="F8" s="2">
        <v>111.2</v>
      </c>
      <c r="G8" s="2">
        <v>110.6</v>
      </c>
      <c r="H8" s="2">
        <v>109.4</v>
      </c>
      <c r="I8" s="2">
        <v>107.3</v>
      </c>
      <c r="J8" s="2">
        <v>107.4</v>
      </c>
      <c r="K8" s="2">
        <v>104.9</v>
      </c>
      <c r="L8" s="2">
        <v>105.5</v>
      </c>
      <c r="M8" s="2">
        <v>102.7</v>
      </c>
      <c r="N8" s="2">
        <v>102.4</v>
      </c>
      <c r="O8" s="2">
        <v>103.4</v>
      </c>
      <c r="P8" s="2">
        <v>103.4</v>
      </c>
      <c r="Q8" s="2">
        <v>103.8</v>
      </c>
      <c r="R8" s="2">
        <v>103.1</v>
      </c>
      <c r="S8" s="2">
        <v>102.3</v>
      </c>
      <c r="T8" s="2">
        <v>104.6</v>
      </c>
      <c r="U8" s="2">
        <v>104.2</v>
      </c>
      <c r="V8" s="2">
        <v>105.1</v>
      </c>
      <c r="W8" s="2">
        <v>105.6</v>
      </c>
      <c r="X8" s="2">
        <v>103.6</v>
      </c>
      <c r="Y8" s="2">
        <v>103.9</v>
      </c>
      <c r="Z8" s="2">
        <v>103.4</v>
      </c>
      <c r="AA8" s="2">
        <v>105.1</v>
      </c>
      <c r="AB8" s="2">
        <v>104.7</v>
      </c>
      <c r="AC8" s="2">
        <v>104.7</v>
      </c>
      <c r="AD8" s="2">
        <v>105</v>
      </c>
      <c r="AE8" s="2">
        <v>105.3</v>
      </c>
      <c r="AF8" s="18">
        <v>107.1</v>
      </c>
      <c r="AG8" s="18">
        <v>108.9</v>
      </c>
      <c r="AH8" s="18">
        <v>109.7</v>
      </c>
      <c r="AI8" s="18">
        <v>108.9</v>
      </c>
      <c r="AJ8" s="18">
        <v>110.1</v>
      </c>
      <c r="AK8" s="18">
        <v>111.6</v>
      </c>
      <c r="AL8" s="11">
        <v>109.8</v>
      </c>
      <c r="AM8" s="11">
        <v>106.8</v>
      </c>
      <c r="AN8" s="11">
        <v>106.8</v>
      </c>
      <c r="AO8" s="24">
        <v>104.4</v>
      </c>
      <c r="AP8" s="24">
        <v>104.9</v>
      </c>
      <c r="AQ8" s="24">
        <v>104.7</v>
      </c>
      <c r="AR8" s="11">
        <v>104.1</v>
      </c>
      <c r="AS8" s="24">
        <v>103.8</v>
      </c>
      <c r="AT8" s="24">
        <v>102.9</v>
      </c>
      <c r="AU8" s="52">
        <v>106</v>
      </c>
      <c r="AV8" s="13">
        <v>104.5</v>
      </c>
      <c r="AW8" s="24">
        <v>105.3</v>
      </c>
      <c r="AX8" s="24">
        <v>106.6</v>
      </c>
      <c r="AY8" s="69">
        <v>104.3</v>
      </c>
      <c r="AZ8" s="11">
        <v>105.2</v>
      </c>
      <c r="BA8" s="24">
        <v>103.9</v>
      </c>
      <c r="BB8" s="24">
        <v>102.8</v>
      </c>
      <c r="BC8" s="69">
        <v>102.9</v>
      </c>
      <c r="BD8" s="11">
        <v>102.6</v>
      </c>
      <c r="BE8" s="24">
        <v>103.3</v>
      </c>
      <c r="BF8" s="6">
        <v>104</v>
      </c>
      <c r="BG8" s="6">
        <v>103.6</v>
      </c>
      <c r="BH8" s="11">
        <v>104.2</v>
      </c>
      <c r="BI8" s="24">
        <v>103.5</v>
      </c>
      <c r="BJ8" s="6">
        <v>103.5</v>
      </c>
      <c r="BK8" s="51">
        <v>103.1</v>
      </c>
      <c r="BL8" s="77">
        <v>104.1</v>
      </c>
      <c r="BM8" s="24">
        <v>103.1</v>
      </c>
      <c r="BN8" s="6">
        <v>103</v>
      </c>
      <c r="BO8" s="51">
        <v>103.2</v>
      </c>
      <c r="BP8" s="77">
        <v>103.1</v>
      </c>
      <c r="BQ8" s="24">
        <v>104.3</v>
      </c>
      <c r="BR8" s="6">
        <v>104.1</v>
      </c>
      <c r="BS8" s="51">
        <v>103.7</v>
      </c>
      <c r="BT8" s="77">
        <v>104.1</v>
      </c>
      <c r="BU8" s="6">
        <v>105</v>
      </c>
      <c r="BV8" s="6">
        <v>104.9</v>
      </c>
      <c r="BW8" s="6">
        <v>107.1</v>
      </c>
      <c r="BX8" s="60">
        <v>106.2</v>
      </c>
      <c r="BY8" s="60">
        <v>107.1</v>
      </c>
      <c r="BZ8" s="60">
        <v>107.6</v>
      </c>
      <c r="CA8" s="61">
        <v>107.7</v>
      </c>
      <c r="CB8" s="61">
        <v>107.1</v>
      </c>
      <c r="CC8" s="61">
        <v>107</v>
      </c>
      <c r="CD8" s="61">
        <v>107.7</v>
      </c>
      <c r="CE8" s="61">
        <v>106.9</v>
      </c>
      <c r="CF8" s="61">
        <v>107.7</v>
      </c>
      <c r="CG8" s="61">
        <v>103.8</v>
      </c>
      <c r="CH8" s="61">
        <v>104.8</v>
      </c>
      <c r="CI8" s="61">
        <v>105</v>
      </c>
      <c r="CJ8" s="112">
        <v>106.6</v>
      </c>
      <c r="CK8" s="115">
        <v>109.6</v>
      </c>
      <c r="CL8" s="115">
        <v>109.4</v>
      </c>
      <c r="CM8" s="116"/>
    </row>
    <row r="9" spans="2:91" ht="15.75">
      <c r="B9" s="126"/>
      <c r="C9" s="127" t="s">
        <v>12</v>
      </c>
      <c r="D9" s="62">
        <v>115.5</v>
      </c>
      <c r="E9" s="2">
        <v>114</v>
      </c>
      <c r="F9" s="2">
        <v>113.1</v>
      </c>
      <c r="G9" s="2">
        <v>112.9</v>
      </c>
      <c r="H9" s="2">
        <v>109.4</v>
      </c>
      <c r="I9" s="2">
        <v>108.4</v>
      </c>
      <c r="J9" s="2">
        <v>108</v>
      </c>
      <c r="K9" s="2">
        <v>108.9</v>
      </c>
      <c r="L9" s="2">
        <v>105.5</v>
      </c>
      <c r="M9" s="2">
        <v>104.1</v>
      </c>
      <c r="N9" s="2">
        <v>103.5</v>
      </c>
      <c r="O9" s="2">
        <v>104.3</v>
      </c>
      <c r="P9" s="2">
        <v>103.4</v>
      </c>
      <c r="Q9" s="2">
        <v>103.6</v>
      </c>
      <c r="R9" s="2">
        <v>103.4</v>
      </c>
      <c r="S9" s="2">
        <v>104.9</v>
      </c>
      <c r="T9" s="2">
        <v>104.6</v>
      </c>
      <c r="U9" s="2">
        <v>104.4</v>
      </c>
      <c r="V9" s="2">
        <v>104.6</v>
      </c>
      <c r="W9" s="2">
        <v>104.8</v>
      </c>
      <c r="X9" s="2">
        <v>103.6</v>
      </c>
      <c r="Y9" s="2">
        <v>103.8</v>
      </c>
      <c r="Z9" s="2">
        <v>103.6</v>
      </c>
      <c r="AA9" s="2">
        <v>104.7</v>
      </c>
      <c r="AB9" s="2">
        <v>104.7</v>
      </c>
      <c r="AC9" s="2">
        <v>104.7</v>
      </c>
      <c r="AD9" s="2">
        <v>104.8</v>
      </c>
      <c r="AE9" s="2">
        <v>104.9</v>
      </c>
      <c r="AF9" s="18">
        <v>107.1</v>
      </c>
      <c r="AG9" s="18">
        <v>108</v>
      </c>
      <c r="AH9" s="18">
        <v>108.6</v>
      </c>
      <c r="AI9" s="18">
        <v>108.7</v>
      </c>
      <c r="AJ9" s="18">
        <v>110.1</v>
      </c>
      <c r="AK9" s="18">
        <v>110.9</v>
      </c>
      <c r="AL9" s="11">
        <v>110.4</v>
      </c>
      <c r="AM9" s="11">
        <v>110.2</v>
      </c>
      <c r="AN9" s="11">
        <v>106.8</v>
      </c>
      <c r="AO9" s="24">
        <v>105.6</v>
      </c>
      <c r="AP9" s="24">
        <v>105.5</v>
      </c>
      <c r="AQ9" s="24">
        <v>105.5</v>
      </c>
      <c r="AR9" s="11">
        <v>104.1</v>
      </c>
      <c r="AS9" s="24">
        <v>103.9</v>
      </c>
      <c r="AT9" s="24">
        <v>103.5</v>
      </c>
      <c r="AU9" s="52">
        <v>104</v>
      </c>
      <c r="AV9" s="13">
        <v>104.5</v>
      </c>
      <c r="AW9" s="24">
        <v>104.9</v>
      </c>
      <c r="AX9" s="24">
        <v>105.5</v>
      </c>
      <c r="AY9" s="69">
        <v>105.4</v>
      </c>
      <c r="AZ9" s="11">
        <v>105.2</v>
      </c>
      <c r="BA9" s="24">
        <v>104.6</v>
      </c>
      <c r="BB9" s="6">
        <v>104</v>
      </c>
      <c r="BC9" s="69">
        <v>103.5</v>
      </c>
      <c r="BD9" s="11">
        <v>102.6</v>
      </c>
      <c r="BE9" s="24">
        <v>102.9</v>
      </c>
      <c r="BF9" s="6">
        <v>103.3</v>
      </c>
      <c r="BG9" s="6">
        <v>103.4</v>
      </c>
      <c r="BH9" s="11">
        <v>104.2</v>
      </c>
      <c r="BI9" s="24">
        <v>103.9</v>
      </c>
      <c r="BJ9" s="6">
        <v>103.7</v>
      </c>
      <c r="BK9" s="51">
        <v>103.4</v>
      </c>
      <c r="BL9" s="77">
        <v>104.1</v>
      </c>
      <c r="BM9" s="24">
        <v>103.6</v>
      </c>
      <c r="BN9" s="6">
        <v>103.4</v>
      </c>
      <c r="BO9" s="51">
        <v>103.2</v>
      </c>
      <c r="BP9" s="77">
        <v>103.1</v>
      </c>
      <c r="BQ9" s="24">
        <v>103.6</v>
      </c>
      <c r="BR9" s="6">
        <v>103.7</v>
      </c>
      <c r="BS9" s="51">
        <v>103.6</v>
      </c>
      <c r="BT9" s="77">
        <v>104.1</v>
      </c>
      <c r="BU9" s="24">
        <v>104.6</v>
      </c>
      <c r="BV9" s="6">
        <v>104.9</v>
      </c>
      <c r="BW9" s="6">
        <v>105.4</v>
      </c>
      <c r="BX9" s="60">
        <v>106.2</v>
      </c>
      <c r="BY9" s="144">
        <v>106.7</v>
      </c>
      <c r="BZ9" s="60">
        <v>106.9</v>
      </c>
      <c r="CA9" s="61">
        <v>107</v>
      </c>
      <c r="CB9" s="61">
        <v>107.1</v>
      </c>
      <c r="CC9" s="61">
        <v>107.1</v>
      </c>
      <c r="CD9" s="61">
        <v>107.3</v>
      </c>
      <c r="CE9" s="61">
        <v>107.2</v>
      </c>
      <c r="CF9" s="61">
        <v>107.7</v>
      </c>
      <c r="CG9" s="61">
        <v>105.8</v>
      </c>
      <c r="CH9" s="61">
        <v>105.5</v>
      </c>
      <c r="CI9" s="61">
        <v>105</v>
      </c>
      <c r="CJ9" s="112">
        <v>106.6</v>
      </c>
      <c r="CK9" s="115">
        <v>108</v>
      </c>
      <c r="CL9" s="115">
        <v>108.5</v>
      </c>
      <c r="CM9" s="116"/>
    </row>
    <row r="10" spans="2:91">
      <c r="B10" s="126"/>
      <c r="C10" s="127" t="s">
        <v>13</v>
      </c>
      <c r="D10" s="62">
        <v>100.7</v>
      </c>
      <c r="E10" s="2">
        <v>100.1</v>
      </c>
      <c r="F10" s="2">
        <v>101.9</v>
      </c>
      <c r="G10" s="2">
        <v>107.7</v>
      </c>
      <c r="H10" s="2">
        <v>99.6</v>
      </c>
      <c r="I10" s="2">
        <v>98.2</v>
      </c>
      <c r="J10" s="2">
        <v>102</v>
      </c>
      <c r="K10" s="2">
        <v>105.2</v>
      </c>
      <c r="L10" s="2">
        <v>100.1</v>
      </c>
      <c r="M10" s="2">
        <v>95.7</v>
      </c>
      <c r="N10" s="2">
        <v>101.6</v>
      </c>
      <c r="O10" s="2">
        <v>106.2</v>
      </c>
      <c r="P10" s="2">
        <v>100.1</v>
      </c>
      <c r="Q10" s="2">
        <v>96.1</v>
      </c>
      <c r="R10" s="2">
        <v>100.9</v>
      </c>
      <c r="S10" s="2">
        <v>105.4</v>
      </c>
      <c r="T10" s="2">
        <v>102.4</v>
      </c>
      <c r="U10" s="2">
        <v>95.6</v>
      </c>
      <c r="V10" s="2">
        <v>101.8</v>
      </c>
      <c r="W10" s="2">
        <v>106</v>
      </c>
      <c r="X10" s="2">
        <v>100.4</v>
      </c>
      <c r="Y10" s="2">
        <v>96</v>
      </c>
      <c r="Z10" s="2">
        <v>101.2</v>
      </c>
      <c r="AA10" s="2">
        <v>107.7</v>
      </c>
      <c r="AB10" s="2">
        <v>100.1</v>
      </c>
      <c r="AC10" s="2">
        <v>95.9</v>
      </c>
      <c r="AD10" s="2">
        <v>101.5</v>
      </c>
      <c r="AE10" s="2">
        <v>108</v>
      </c>
      <c r="AF10" s="18">
        <v>101.8</v>
      </c>
      <c r="AG10" s="18">
        <v>97.6</v>
      </c>
      <c r="AH10" s="18">
        <v>102.2</v>
      </c>
      <c r="AI10" s="18">
        <v>107.3</v>
      </c>
      <c r="AJ10" s="18">
        <v>102.9</v>
      </c>
      <c r="AK10" s="18">
        <v>98.9</v>
      </c>
      <c r="AL10" s="11">
        <v>100.6</v>
      </c>
      <c r="AM10" s="11">
        <v>104.3</v>
      </c>
      <c r="AN10" s="11">
        <v>102.9</v>
      </c>
      <c r="AO10" s="24">
        <v>96.7</v>
      </c>
      <c r="AP10" s="24">
        <v>101.1</v>
      </c>
      <c r="AQ10" s="24">
        <v>104.2</v>
      </c>
      <c r="AR10" s="11">
        <v>102.2</v>
      </c>
      <c r="AS10" s="24">
        <v>96.4</v>
      </c>
      <c r="AT10" s="24">
        <v>100.2</v>
      </c>
      <c r="AU10" s="55">
        <v>107.3</v>
      </c>
      <c r="AV10" s="13">
        <v>100.8</v>
      </c>
      <c r="AW10" s="24">
        <v>97.1</v>
      </c>
      <c r="AX10" s="53">
        <v>101.5</v>
      </c>
      <c r="AY10" s="69">
        <v>105</v>
      </c>
      <c r="AZ10" s="11">
        <v>101.7</v>
      </c>
      <c r="BA10" s="24">
        <v>95.9</v>
      </c>
      <c r="BB10" s="24">
        <v>100.4</v>
      </c>
      <c r="BC10" s="69">
        <v>105.1</v>
      </c>
      <c r="BD10" s="11">
        <v>101.3</v>
      </c>
      <c r="BE10" s="24">
        <v>96.6</v>
      </c>
      <c r="BF10" s="24">
        <v>101.1</v>
      </c>
      <c r="BG10" s="6">
        <v>104.7</v>
      </c>
      <c r="BH10" s="11">
        <v>101.9</v>
      </c>
      <c r="BI10" s="6">
        <v>96</v>
      </c>
      <c r="BJ10" s="24">
        <v>101.1</v>
      </c>
      <c r="BK10" s="51">
        <v>104.3</v>
      </c>
      <c r="BL10" s="77">
        <v>102.8</v>
      </c>
      <c r="BM10" s="6">
        <v>95.1</v>
      </c>
      <c r="BN10" s="6">
        <v>101</v>
      </c>
      <c r="BO10" s="51">
        <v>104.4</v>
      </c>
      <c r="BP10" s="77">
        <v>102.8</v>
      </c>
      <c r="BQ10" s="6">
        <v>96.1</v>
      </c>
      <c r="BR10" s="6">
        <v>100.9</v>
      </c>
      <c r="BS10" s="51">
        <v>104</v>
      </c>
      <c r="BT10" s="77">
        <v>103.2</v>
      </c>
      <c r="BU10" s="6">
        <v>96.9</v>
      </c>
      <c r="BV10" s="6">
        <v>100.8</v>
      </c>
      <c r="BW10" s="6">
        <v>106.1</v>
      </c>
      <c r="BX10" s="60">
        <v>102.4</v>
      </c>
      <c r="BY10" s="144">
        <v>97.8</v>
      </c>
      <c r="BZ10" s="60">
        <v>101.3</v>
      </c>
      <c r="CA10" s="61">
        <v>106.2</v>
      </c>
      <c r="CB10" s="61">
        <v>101.8</v>
      </c>
      <c r="CC10" s="61">
        <v>97.7</v>
      </c>
      <c r="CD10" s="61">
        <v>101.9</v>
      </c>
      <c r="CE10" s="61">
        <v>105.4</v>
      </c>
      <c r="CF10" s="61">
        <v>102.6</v>
      </c>
      <c r="CG10" s="61">
        <v>94.2</v>
      </c>
      <c r="CH10" s="61">
        <v>102.9</v>
      </c>
      <c r="CI10" s="61">
        <v>105.6</v>
      </c>
      <c r="CJ10" s="112">
        <v>104.1</v>
      </c>
      <c r="CK10" s="115">
        <v>96.9</v>
      </c>
      <c r="CL10" s="115">
        <v>102.8</v>
      </c>
      <c r="CM10" s="162"/>
    </row>
    <row r="11" spans="2:91" ht="26.25">
      <c r="B11" s="128" t="s">
        <v>14</v>
      </c>
      <c r="C11" s="127" t="s">
        <v>10</v>
      </c>
      <c r="D11" s="81">
        <v>2046.43</v>
      </c>
      <c r="E11" s="82">
        <v>1751.15</v>
      </c>
      <c r="F11" s="82">
        <v>1813.5</v>
      </c>
      <c r="G11" s="82">
        <v>2116.4299999999998</v>
      </c>
      <c r="H11" s="82">
        <v>2330.1799999999998</v>
      </c>
      <c r="I11" s="82">
        <v>1932.41</v>
      </c>
      <c r="J11" s="82">
        <v>1984.64</v>
      </c>
      <c r="K11" s="82">
        <v>2098.5700000000002</v>
      </c>
      <c r="L11" s="82">
        <v>2492.58</v>
      </c>
      <c r="M11" s="82">
        <v>1958.86</v>
      </c>
      <c r="N11" s="82">
        <v>1985.47</v>
      </c>
      <c r="O11" s="82">
        <v>2149.5300000000002</v>
      </c>
      <c r="P11" s="82">
        <v>2601.11</v>
      </c>
      <c r="Q11" s="82">
        <v>2098.1799999999998</v>
      </c>
      <c r="R11" s="82">
        <v>2117.08</v>
      </c>
      <c r="S11" s="82">
        <v>2244.94</v>
      </c>
      <c r="T11" s="82">
        <v>2736.12</v>
      </c>
      <c r="U11" s="82">
        <v>2226.77</v>
      </c>
      <c r="V11" s="82">
        <v>2233.77</v>
      </c>
      <c r="W11" s="82">
        <v>2342.1999999999998</v>
      </c>
      <c r="X11" s="82">
        <v>2876.89</v>
      </c>
      <c r="Y11" s="82">
        <v>2304.04</v>
      </c>
      <c r="Z11" s="82">
        <v>2327.4</v>
      </c>
      <c r="AA11" s="82">
        <v>2497.59</v>
      </c>
      <c r="AB11" s="82">
        <v>2986.24</v>
      </c>
      <c r="AC11" s="82">
        <v>2410.73</v>
      </c>
      <c r="AD11" s="82">
        <v>2448.6</v>
      </c>
      <c r="AE11" s="82">
        <v>2640.55</v>
      </c>
      <c r="AF11" s="83">
        <v>3104.5</v>
      </c>
      <c r="AG11" s="83">
        <v>2582.7600000000002</v>
      </c>
      <c r="AH11" s="83">
        <v>2582.6</v>
      </c>
      <c r="AI11" s="83">
        <v>2827</v>
      </c>
      <c r="AJ11" s="83">
        <v>3334.46</v>
      </c>
      <c r="AK11" s="83">
        <v>2937.79</v>
      </c>
      <c r="AL11" s="84">
        <v>2915.76</v>
      </c>
      <c r="AM11" s="84">
        <v>3219.37</v>
      </c>
      <c r="AN11" s="84">
        <v>3712.9</v>
      </c>
      <c r="AO11" s="85">
        <v>3115.23</v>
      </c>
      <c r="AP11" s="85">
        <v>3110.88</v>
      </c>
      <c r="AQ11" s="85">
        <v>3304.14</v>
      </c>
      <c r="AR11" s="84">
        <v>4052</v>
      </c>
      <c r="AS11" s="86">
        <v>3183.02</v>
      </c>
      <c r="AT11" s="87">
        <v>3218.1</v>
      </c>
      <c r="AU11" s="88">
        <v>3566</v>
      </c>
      <c r="AV11" s="89">
        <v>4260.4799999999996</v>
      </c>
      <c r="AW11" s="86">
        <v>3362.34</v>
      </c>
      <c r="AX11" s="87">
        <v>3458.77</v>
      </c>
      <c r="AY11" s="90">
        <v>3715.78</v>
      </c>
      <c r="AZ11" s="84">
        <v>4485.53</v>
      </c>
      <c r="BA11" s="80">
        <v>3483.91</v>
      </c>
      <c r="BB11" s="85">
        <v>3594.17</v>
      </c>
      <c r="BC11" s="90">
        <v>3841.63</v>
      </c>
      <c r="BD11" s="84">
        <v>4655.4799999999996</v>
      </c>
      <c r="BE11" s="80">
        <v>3642.41</v>
      </c>
      <c r="BF11" s="85">
        <v>3744.02</v>
      </c>
      <c r="BG11" s="85">
        <v>3946.81</v>
      </c>
      <c r="BH11" s="84">
        <v>4799.57</v>
      </c>
      <c r="BI11" s="80">
        <v>3750.73</v>
      </c>
      <c r="BJ11" s="85">
        <v>3807.57</v>
      </c>
      <c r="BK11" s="91">
        <v>4078.77</v>
      </c>
      <c r="BL11" s="92">
        <v>4920.47</v>
      </c>
      <c r="BM11" s="80">
        <v>3840.74</v>
      </c>
      <c r="BN11" s="78">
        <v>3899.84</v>
      </c>
      <c r="BO11" s="78">
        <v>4169.68</v>
      </c>
      <c r="BP11" s="92">
        <v>5004.17</v>
      </c>
      <c r="BQ11" s="80">
        <v>3982.83</v>
      </c>
      <c r="BR11" s="78">
        <v>4049.11</v>
      </c>
      <c r="BS11" s="114">
        <v>4365.79</v>
      </c>
      <c r="BT11" s="92">
        <v>5162.43</v>
      </c>
      <c r="BU11" s="80">
        <v>4110.8100000000004</v>
      </c>
      <c r="BV11" s="119">
        <v>4123.05</v>
      </c>
      <c r="BW11" s="78">
        <v>4613.17</v>
      </c>
      <c r="BX11" s="139">
        <v>5384.73</v>
      </c>
      <c r="BY11" s="139">
        <v>4327.32</v>
      </c>
      <c r="BZ11" s="139">
        <v>4442.46</v>
      </c>
      <c r="CA11" s="139">
        <v>4850.78</v>
      </c>
      <c r="CB11" s="139">
        <v>5748.64</v>
      </c>
      <c r="CC11" s="139">
        <v>4532.04</v>
      </c>
      <c r="CD11" s="139">
        <v>4858.42</v>
      </c>
      <c r="CE11" s="139">
        <v>5306.15</v>
      </c>
      <c r="CF11" s="139">
        <v>6269.83</v>
      </c>
      <c r="CG11" s="139">
        <v>5007.6400000000003</v>
      </c>
      <c r="CH11" s="139">
        <v>5325.65</v>
      </c>
      <c r="CI11" s="151">
        <v>5698.13</v>
      </c>
      <c r="CJ11" s="145">
        <v>6765.85</v>
      </c>
      <c r="CK11" s="156">
        <v>5292.39</v>
      </c>
      <c r="CL11" s="169">
        <v>5567.21</v>
      </c>
      <c r="CM11" s="162"/>
    </row>
    <row r="12" spans="2:91">
      <c r="B12" s="129"/>
      <c r="C12" s="127" t="s">
        <v>11</v>
      </c>
      <c r="D12" s="25" t="s">
        <v>15</v>
      </c>
      <c r="E12" s="10" t="s">
        <v>15</v>
      </c>
      <c r="F12" s="10" t="s">
        <v>15</v>
      </c>
      <c r="G12" s="10" t="s">
        <v>15</v>
      </c>
      <c r="H12" s="10" t="s">
        <v>15</v>
      </c>
      <c r="I12" s="10" t="s">
        <v>15</v>
      </c>
      <c r="J12" s="10" t="s">
        <v>15</v>
      </c>
      <c r="K12" s="10" t="s">
        <v>15</v>
      </c>
      <c r="L12" s="10" t="s">
        <v>15</v>
      </c>
      <c r="M12" s="10" t="s">
        <v>15</v>
      </c>
      <c r="N12" s="10" t="s">
        <v>15</v>
      </c>
      <c r="O12" s="10" t="s">
        <v>15</v>
      </c>
      <c r="P12" s="10" t="s">
        <v>15</v>
      </c>
      <c r="Q12" s="10" t="s">
        <v>15</v>
      </c>
      <c r="R12" s="10" t="s">
        <v>15</v>
      </c>
      <c r="S12" s="10" t="s">
        <v>15</v>
      </c>
      <c r="T12" s="10" t="s">
        <v>15</v>
      </c>
      <c r="U12" s="10" t="s">
        <v>15</v>
      </c>
      <c r="V12" s="10" t="s">
        <v>15</v>
      </c>
      <c r="W12" s="10" t="s">
        <v>15</v>
      </c>
      <c r="X12" s="10" t="s">
        <v>15</v>
      </c>
      <c r="Y12" s="10" t="s">
        <v>15</v>
      </c>
      <c r="Z12" s="10" t="s">
        <v>15</v>
      </c>
      <c r="AA12" s="10" t="s">
        <v>15</v>
      </c>
      <c r="AB12" s="10" t="s">
        <v>15</v>
      </c>
      <c r="AC12" s="10" t="s">
        <v>15</v>
      </c>
      <c r="AD12" s="10" t="s">
        <v>15</v>
      </c>
      <c r="AE12" s="10" t="s">
        <v>15</v>
      </c>
      <c r="AF12" s="26">
        <v>104</v>
      </c>
      <c r="AG12" s="26">
        <v>107.1</v>
      </c>
      <c r="AH12" s="26">
        <v>105.5</v>
      </c>
      <c r="AI12" s="26">
        <v>107.1</v>
      </c>
      <c r="AJ12" s="26">
        <v>107.4</v>
      </c>
      <c r="AK12" s="26">
        <v>113.7</v>
      </c>
      <c r="AL12" s="11">
        <v>112.9</v>
      </c>
      <c r="AM12" s="11">
        <v>113.9</v>
      </c>
      <c r="AN12" s="11">
        <v>111.3</v>
      </c>
      <c r="AO12" s="6">
        <v>106</v>
      </c>
      <c r="AP12" s="24">
        <v>106.7</v>
      </c>
      <c r="AQ12" s="24">
        <v>106.8</v>
      </c>
      <c r="AR12" s="11">
        <v>109.1</v>
      </c>
      <c r="AS12" s="24">
        <v>102.1</v>
      </c>
      <c r="AT12" s="53">
        <v>103.4</v>
      </c>
      <c r="AU12" s="55">
        <v>107.9</v>
      </c>
      <c r="AV12" s="13">
        <v>105.1</v>
      </c>
      <c r="AW12" s="24">
        <v>105.6</v>
      </c>
      <c r="AX12" s="53">
        <v>107.5</v>
      </c>
      <c r="AY12" s="70">
        <v>104.2</v>
      </c>
      <c r="AZ12" s="11">
        <v>105.3</v>
      </c>
      <c r="BA12" s="24">
        <v>103.6</v>
      </c>
      <c r="BB12" s="24">
        <v>103.9</v>
      </c>
      <c r="BC12" s="70">
        <v>103.4</v>
      </c>
      <c r="BD12" s="11">
        <v>103.8</v>
      </c>
      <c r="BE12" s="24">
        <v>104.5</v>
      </c>
      <c r="BF12" s="24">
        <v>104.2</v>
      </c>
      <c r="BG12" s="6">
        <v>102.7</v>
      </c>
      <c r="BH12" s="11">
        <v>103.1</v>
      </c>
      <c r="BI12" s="6">
        <v>103</v>
      </c>
      <c r="BJ12" s="24">
        <v>101.7</v>
      </c>
      <c r="BK12" s="51">
        <v>103.3</v>
      </c>
      <c r="BL12" s="77">
        <v>102.5</v>
      </c>
      <c r="BM12" s="6">
        <v>102.4</v>
      </c>
      <c r="BN12" s="24">
        <v>102.4</v>
      </c>
      <c r="BO12" s="51">
        <v>102.2</v>
      </c>
      <c r="BP12" s="77">
        <v>101.7</v>
      </c>
      <c r="BQ12" s="6">
        <v>103.7</v>
      </c>
      <c r="BR12" s="24">
        <v>103.8</v>
      </c>
      <c r="BS12" s="51">
        <v>104.7</v>
      </c>
      <c r="BT12" s="77">
        <v>103.2</v>
      </c>
      <c r="BU12" s="6">
        <v>103.2</v>
      </c>
      <c r="BV12" s="120">
        <v>101.8</v>
      </c>
      <c r="BW12" s="6">
        <v>105.7</v>
      </c>
      <c r="BX12" s="60">
        <v>104.3</v>
      </c>
      <c r="BY12" s="60">
        <v>105.3</v>
      </c>
      <c r="BZ12" s="144">
        <v>107.7</v>
      </c>
      <c r="CA12" s="61">
        <v>105.2</v>
      </c>
      <c r="CB12" s="61">
        <v>106.8</v>
      </c>
      <c r="CC12" s="61">
        <v>104.7</v>
      </c>
      <c r="CD12" s="61">
        <v>109.4</v>
      </c>
      <c r="CE12" s="61">
        <v>109.4</v>
      </c>
      <c r="CF12" s="61">
        <v>109.1</v>
      </c>
      <c r="CG12" s="61">
        <v>110.5</v>
      </c>
      <c r="CH12" s="61">
        <v>109.6</v>
      </c>
      <c r="CI12" s="61">
        <v>107.4</v>
      </c>
      <c r="CJ12" s="112">
        <v>107.9</v>
      </c>
      <c r="CK12" s="115">
        <v>105.7</v>
      </c>
      <c r="CL12" s="115">
        <v>104.5</v>
      </c>
      <c r="CM12" s="162"/>
    </row>
    <row r="13" spans="2:91" ht="15.75">
      <c r="B13" s="129"/>
      <c r="C13" s="127" t="s">
        <v>12</v>
      </c>
      <c r="D13" s="25" t="s">
        <v>15</v>
      </c>
      <c r="E13" s="10" t="s">
        <v>15</v>
      </c>
      <c r="F13" s="10" t="s">
        <v>15</v>
      </c>
      <c r="G13" s="10" t="s">
        <v>15</v>
      </c>
      <c r="H13" s="10" t="s">
        <v>15</v>
      </c>
      <c r="I13" s="10" t="s">
        <v>15</v>
      </c>
      <c r="J13" s="10" t="s">
        <v>15</v>
      </c>
      <c r="K13" s="10" t="s">
        <v>15</v>
      </c>
      <c r="L13" s="10" t="s">
        <v>15</v>
      </c>
      <c r="M13" s="10" t="s">
        <v>15</v>
      </c>
      <c r="N13" s="10" t="s">
        <v>15</v>
      </c>
      <c r="O13" s="10" t="s">
        <v>15</v>
      </c>
      <c r="P13" s="10" t="s">
        <v>15</v>
      </c>
      <c r="Q13" s="10" t="s">
        <v>15</v>
      </c>
      <c r="R13" s="10" t="s">
        <v>15</v>
      </c>
      <c r="S13" s="10" t="s">
        <v>15</v>
      </c>
      <c r="T13" s="10" t="s">
        <v>15</v>
      </c>
      <c r="U13" s="10" t="s">
        <v>15</v>
      </c>
      <c r="V13" s="10" t="s">
        <v>15</v>
      </c>
      <c r="W13" s="10" t="s">
        <v>15</v>
      </c>
      <c r="X13" s="10" t="s">
        <v>15</v>
      </c>
      <c r="Y13" s="10" t="s">
        <v>15</v>
      </c>
      <c r="Z13" s="10" t="s">
        <v>15</v>
      </c>
      <c r="AA13" s="10" t="s">
        <v>15</v>
      </c>
      <c r="AB13" s="10" t="s">
        <v>15</v>
      </c>
      <c r="AC13" s="10" t="s">
        <v>15</v>
      </c>
      <c r="AD13" s="10" t="s">
        <v>15</v>
      </c>
      <c r="AE13" s="10" t="s">
        <v>15</v>
      </c>
      <c r="AF13" s="26">
        <v>104</v>
      </c>
      <c r="AG13" s="26">
        <v>105.3</v>
      </c>
      <c r="AH13" s="26">
        <v>105.4</v>
      </c>
      <c r="AI13" s="26">
        <v>105.8</v>
      </c>
      <c r="AJ13" s="26">
        <v>107.4</v>
      </c>
      <c r="AK13" s="26">
        <v>110.4</v>
      </c>
      <c r="AL13" s="11">
        <v>111.1</v>
      </c>
      <c r="AM13" s="11">
        <v>111.8</v>
      </c>
      <c r="AN13" s="11">
        <v>111.3</v>
      </c>
      <c r="AO13" s="24">
        <v>108.8</v>
      </c>
      <c r="AP13" s="24">
        <v>108.1</v>
      </c>
      <c r="AQ13" s="24">
        <v>102.6</v>
      </c>
      <c r="AR13" s="11">
        <v>109.1</v>
      </c>
      <c r="AS13" s="24">
        <v>105.9</v>
      </c>
      <c r="AT13" s="53">
        <v>105.1</v>
      </c>
      <c r="AU13" s="55">
        <v>105.9</v>
      </c>
      <c r="AV13" s="13">
        <v>105.1</v>
      </c>
      <c r="AW13" s="24">
        <v>105.4</v>
      </c>
      <c r="AX13" s="53">
        <v>106.1</v>
      </c>
      <c r="AY13" s="70">
        <v>105.6</v>
      </c>
      <c r="AZ13" s="11">
        <v>105.3</v>
      </c>
      <c r="BA13" s="24">
        <v>104.5</v>
      </c>
      <c r="BB13" s="24">
        <v>104.3</v>
      </c>
      <c r="BC13" s="70">
        <v>104.1</v>
      </c>
      <c r="BD13" s="11">
        <v>103.8</v>
      </c>
      <c r="BE13" s="24">
        <v>104.2</v>
      </c>
      <c r="BF13" s="24">
        <v>104.2</v>
      </c>
      <c r="BG13" s="6">
        <v>103.8</v>
      </c>
      <c r="BH13" s="11">
        <v>103.1</v>
      </c>
      <c r="BI13" s="6">
        <v>103</v>
      </c>
      <c r="BJ13" s="24">
        <v>102.6</v>
      </c>
      <c r="BK13" s="51">
        <v>102.8</v>
      </c>
      <c r="BL13" s="77">
        <v>102.5</v>
      </c>
      <c r="BM13" s="6">
        <v>102.5</v>
      </c>
      <c r="BN13" s="24">
        <v>102.5</v>
      </c>
      <c r="BO13" s="51">
        <v>102.4</v>
      </c>
      <c r="BP13" s="77">
        <v>101.7</v>
      </c>
      <c r="BQ13" s="6">
        <v>102.6</v>
      </c>
      <c r="BR13" s="6">
        <v>103</v>
      </c>
      <c r="BS13" s="51">
        <v>103.4</v>
      </c>
      <c r="BT13" s="77">
        <v>103.2</v>
      </c>
      <c r="BU13" s="6">
        <v>103.2</v>
      </c>
      <c r="BV13" s="79">
        <v>102.7</v>
      </c>
      <c r="BW13" s="6">
        <v>103.5</v>
      </c>
      <c r="BX13" s="60">
        <v>104.3</v>
      </c>
      <c r="BY13" s="60">
        <v>104.7</v>
      </c>
      <c r="BZ13" s="60">
        <v>105.7</v>
      </c>
      <c r="CA13" s="61">
        <v>105.6</v>
      </c>
      <c r="CB13" s="61">
        <v>106.8</v>
      </c>
      <c r="CC13" s="61">
        <v>105.9</v>
      </c>
      <c r="CD13" s="61">
        <v>107</v>
      </c>
      <c r="CE13" s="61">
        <v>107.6</v>
      </c>
      <c r="CF13" s="61">
        <v>109.1</v>
      </c>
      <c r="CG13" s="61">
        <v>109.8</v>
      </c>
      <c r="CH13" s="61">
        <v>109.7</v>
      </c>
      <c r="CI13" s="61">
        <v>109.1</v>
      </c>
      <c r="CJ13" s="112">
        <v>107.9</v>
      </c>
      <c r="CK13" s="115">
        <v>106.9</v>
      </c>
      <c r="CL13" s="115">
        <v>106.1</v>
      </c>
      <c r="CM13" s="162"/>
    </row>
    <row r="14" spans="2:91">
      <c r="B14" s="129"/>
      <c r="C14" s="127" t="s">
        <v>13</v>
      </c>
      <c r="D14" s="25" t="s">
        <v>15</v>
      </c>
      <c r="E14" s="10" t="s">
        <v>15</v>
      </c>
      <c r="F14" s="10" t="s">
        <v>15</v>
      </c>
      <c r="G14" s="10" t="s">
        <v>15</v>
      </c>
      <c r="H14" s="10" t="s">
        <v>15</v>
      </c>
      <c r="I14" s="10" t="s">
        <v>15</v>
      </c>
      <c r="J14" s="10" t="s">
        <v>15</v>
      </c>
      <c r="K14" s="10" t="s">
        <v>15</v>
      </c>
      <c r="L14" s="10" t="s">
        <v>15</v>
      </c>
      <c r="M14" s="10" t="s">
        <v>15</v>
      </c>
      <c r="N14" s="10" t="s">
        <v>15</v>
      </c>
      <c r="O14" s="10" t="s">
        <v>15</v>
      </c>
      <c r="P14" s="10" t="s">
        <v>15</v>
      </c>
      <c r="Q14" s="10" t="s">
        <v>15</v>
      </c>
      <c r="R14" s="10" t="s">
        <v>15</v>
      </c>
      <c r="S14" s="10" t="s">
        <v>15</v>
      </c>
      <c r="T14" s="10" t="s">
        <v>15</v>
      </c>
      <c r="U14" s="10" t="s">
        <v>15</v>
      </c>
      <c r="V14" s="10" t="s">
        <v>15</v>
      </c>
      <c r="W14" s="10" t="s">
        <v>15</v>
      </c>
      <c r="X14" s="10" t="s">
        <v>15</v>
      </c>
      <c r="Y14" s="10" t="s">
        <v>15</v>
      </c>
      <c r="Z14" s="10" t="s">
        <v>15</v>
      </c>
      <c r="AA14" s="10" t="s">
        <v>15</v>
      </c>
      <c r="AB14" s="10" t="s">
        <v>15</v>
      </c>
      <c r="AC14" s="10" t="s">
        <v>15</v>
      </c>
      <c r="AD14" s="10" t="s">
        <v>15</v>
      </c>
      <c r="AE14" s="10" t="s">
        <v>15</v>
      </c>
      <c r="AF14" s="26">
        <v>117.6</v>
      </c>
      <c r="AG14" s="26">
        <v>83.2</v>
      </c>
      <c r="AH14" s="26">
        <v>100</v>
      </c>
      <c r="AI14" s="26">
        <v>109.5</v>
      </c>
      <c r="AJ14" s="26">
        <v>118</v>
      </c>
      <c r="AK14" s="26">
        <v>88.1</v>
      </c>
      <c r="AL14" s="11">
        <v>99.3</v>
      </c>
      <c r="AM14" s="11">
        <v>110.4</v>
      </c>
      <c r="AN14" s="11">
        <v>115.3</v>
      </c>
      <c r="AO14" s="24">
        <v>83.9</v>
      </c>
      <c r="AP14" s="24">
        <v>99.9</v>
      </c>
      <c r="AQ14" s="24">
        <v>106.2</v>
      </c>
      <c r="AR14" s="11">
        <v>122.6</v>
      </c>
      <c r="AS14" s="24">
        <v>78.5</v>
      </c>
      <c r="AT14" s="24">
        <v>101.1</v>
      </c>
      <c r="AU14" s="55">
        <v>110.8</v>
      </c>
      <c r="AV14" s="13">
        <v>119.5</v>
      </c>
      <c r="AW14" s="24">
        <v>78.900000000000006</v>
      </c>
      <c r="AX14" s="24">
        <v>102.9</v>
      </c>
      <c r="AY14" s="70">
        <v>107.4</v>
      </c>
      <c r="AZ14" s="11">
        <v>120.7</v>
      </c>
      <c r="BA14" s="24">
        <v>77.7</v>
      </c>
      <c r="BB14" s="24">
        <v>103.2</v>
      </c>
      <c r="BC14" s="70">
        <v>106.9</v>
      </c>
      <c r="BD14" s="11">
        <v>121.2</v>
      </c>
      <c r="BE14" s="24">
        <v>78.2</v>
      </c>
      <c r="BF14" s="24">
        <v>102.8</v>
      </c>
      <c r="BG14" s="6">
        <v>105.4</v>
      </c>
      <c r="BH14" s="11">
        <v>121.6</v>
      </c>
      <c r="BI14" s="24">
        <v>78.099999999999994</v>
      </c>
      <c r="BJ14" s="24">
        <v>101.5</v>
      </c>
      <c r="BK14" s="51">
        <v>107.1</v>
      </c>
      <c r="BL14" s="77">
        <v>120.6</v>
      </c>
      <c r="BM14" s="6">
        <v>78.099999999999994</v>
      </c>
      <c r="BN14" s="24">
        <v>101.5</v>
      </c>
      <c r="BO14" s="51">
        <v>106.9</v>
      </c>
      <c r="BP14" s="77">
        <v>120</v>
      </c>
      <c r="BQ14" s="6">
        <v>79.599999999999994</v>
      </c>
      <c r="BR14" s="24">
        <v>101.7</v>
      </c>
      <c r="BS14" s="51">
        <v>107.8</v>
      </c>
      <c r="BT14" s="77">
        <v>118.2</v>
      </c>
      <c r="BU14" s="6">
        <v>79.599999999999994</v>
      </c>
      <c r="BV14" s="120">
        <v>100.3</v>
      </c>
      <c r="BW14" s="6">
        <v>111.9</v>
      </c>
      <c r="BX14" s="60">
        <v>116.7</v>
      </c>
      <c r="BY14" s="60">
        <v>80.400000000000006</v>
      </c>
      <c r="BZ14" s="144">
        <v>102.7</v>
      </c>
      <c r="CA14" s="61">
        <v>109.2</v>
      </c>
      <c r="CB14" s="61">
        <v>118.5</v>
      </c>
      <c r="CC14" s="61">
        <v>78.8</v>
      </c>
      <c r="CD14" s="61">
        <v>107.2</v>
      </c>
      <c r="CE14" s="61">
        <v>109.2</v>
      </c>
      <c r="CF14" s="61">
        <v>118.2</v>
      </c>
      <c r="CG14" s="61">
        <v>79.900000000000006</v>
      </c>
      <c r="CH14" s="61">
        <v>106.4</v>
      </c>
      <c r="CI14" s="61">
        <v>107</v>
      </c>
      <c r="CJ14" s="112">
        <v>118.7</v>
      </c>
      <c r="CK14" s="115">
        <v>78.2</v>
      </c>
      <c r="CL14" s="115">
        <v>105.2</v>
      </c>
      <c r="CM14" s="162"/>
    </row>
    <row r="15" spans="2:91" ht="27.75">
      <c r="B15" s="128" t="s">
        <v>16</v>
      </c>
      <c r="C15" s="127" t="s">
        <v>10</v>
      </c>
      <c r="D15" s="27" t="s">
        <v>15</v>
      </c>
      <c r="E15" s="28" t="s">
        <v>15</v>
      </c>
      <c r="F15" s="28" t="s">
        <v>15</v>
      </c>
      <c r="G15" s="28" t="s">
        <v>15</v>
      </c>
      <c r="H15" s="28" t="s">
        <v>15</v>
      </c>
      <c r="I15" s="28" t="s">
        <v>15</v>
      </c>
      <c r="J15" s="28" t="s">
        <v>15</v>
      </c>
      <c r="K15" s="28" t="s">
        <v>15</v>
      </c>
      <c r="L15" s="28" t="s">
        <v>15</v>
      </c>
      <c r="M15" s="28" t="s">
        <v>15</v>
      </c>
      <c r="N15" s="28" t="s">
        <v>15</v>
      </c>
      <c r="O15" s="28" t="s">
        <v>15</v>
      </c>
      <c r="P15" s="28" t="s">
        <v>15</v>
      </c>
      <c r="Q15" s="28" t="s">
        <v>15</v>
      </c>
      <c r="R15" s="28" t="s">
        <v>15</v>
      </c>
      <c r="S15" s="28" t="s">
        <v>15</v>
      </c>
      <c r="T15" s="28" t="s">
        <v>15</v>
      </c>
      <c r="U15" s="28" t="s">
        <v>15</v>
      </c>
      <c r="V15" s="28" t="s">
        <v>15</v>
      </c>
      <c r="W15" s="28" t="s">
        <v>15</v>
      </c>
      <c r="X15" s="28" t="s">
        <v>15</v>
      </c>
      <c r="Y15" s="28" t="s">
        <v>15</v>
      </c>
      <c r="Z15" s="28" t="s">
        <v>15</v>
      </c>
      <c r="AA15" s="28" t="s">
        <v>15</v>
      </c>
      <c r="AB15" s="28" t="s">
        <v>15</v>
      </c>
      <c r="AC15" s="28" t="s">
        <v>15</v>
      </c>
      <c r="AD15" s="28" t="s">
        <v>15</v>
      </c>
      <c r="AE15" s="28" t="s">
        <v>15</v>
      </c>
      <c r="AF15" s="93">
        <v>2737.56</v>
      </c>
      <c r="AG15" s="93">
        <v>2813.21</v>
      </c>
      <c r="AH15" s="93">
        <v>2893.07</v>
      </c>
      <c r="AI15" s="93">
        <v>3106.3</v>
      </c>
      <c r="AJ15" s="93">
        <v>3057.84</v>
      </c>
      <c r="AK15" s="93">
        <v>3159.3</v>
      </c>
      <c r="AL15" s="84">
        <v>3194.23</v>
      </c>
      <c r="AM15" s="92">
        <v>3329.81</v>
      </c>
      <c r="AN15" s="84">
        <v>3249.29</v>
      </c>
      <c r="AO15" s="85">
        <v>3276.94</v>
      </c>
      <c r="AP15" s="85">
        <v>3317.45</v>
      </c>
      <c r="AQ15" s="85">
        <v>3456.61</v>
      </c>
      <c r="AR15" s="84">
        <v>3340.89</v>
      </c>
      <c r="AS15" s="85">
        <v>3402.05</v>
      </c>
      <c r="AT15" s="85">
        <v>3385.23</v>
      </c>
      <c r="AU15" s="88">
        <v>3605.74</v>
      </c>
      <c r="AV15" s="89">
        <v>3478.91</v>
      </c>
      <c r="AW15" s="85">
        <v>3573.27</v>
      </c>
      <c r="AX15" s="85">
        <v>3593.42</v>
      </c>
      <c r="AY15" s="90">
        <v>3771.08</v>
      </c>
      <c r="AZ15" s="84">
        <v>3664.16</v>
      </c>
      <c r="BA15" s="85">
        <v>3681.85</v>
      </c>
      <c r="BB15" s="85">
        <v>3689.81</v>
      </c>
      <c r="BC15" s="90">
        <v>3877.5</v>
      </c>
      <c r="BD15" s="84">
        <v>3740.79</v>
      </c>
      <c r="BE15" s="85">
        <v>3788.26</v>
      </c>
      <c r="BF15" s="85">
        <v>3813.25</v>
      </c>
      <c r="BG15" s="85">
        <v>4005.97</v>
      </c>
      <c r="BH15" s="84">
        <v>3896.97</v>
      </c>
      <c r="BI15" s="85">
        <v>3943.91</v>
      </c>
      <c r="BJ15" s="85">
        <v>3939.22</v>
      </c>
      <c r="BK15" s="91">
        <v>4139.42</v>
      </c>
      <c r="BL15" s="92">
        <v>4053.71</v>
      </c>
      <c r="BM15" s="85">
        <v>4066.34</v>
      </c>
      <c r="BN15" s="78">
        <v>4081.9</v>
      </c>
      <c r="BO15" s="114">
        <v>4280.8</v>
      </c>
      <c r="BP15" s="92">
        <v>4201.91</v>
      </c>
      <c r="BQ15" s="85">
        <v>4246.21</v>
      </c>
      <c r="BR15" s="78">
        <v>4254.2</v>
      </c>
      <c r="BS15" s="114">
        <v>4404.17</v>
      </c>
      <c r="BT15" s="92">
        <v>4390.54</v>
      </c>
      <c r="BU15" s="85">
        <v>4477.18</v>
      </c>
      <c r="BV15" s="139">
        <v>4510.8599999999997</v>
      </c>
      <c r="BW15" s="139">
        <v>4739.91</v>
      </c>
      <c r="BX15" s="139">
        <v>4700.1099999999997</v>
      </c>
      <c r="BY15" s="139">
        <v>4812.84</v>
      </c>
      <c r="BZ15" s="139">
        <v>4822.83</v>
      </c>
      <c r="CA15" s="139">
        <v>5071.41</v>
      </c>
      <c r="CB15" s="139">
        <v>5015.03</v>
      </c>
      <c r="CC15" s="139">
        <v>5142.59</v>
      </c>
      <c r="CD15" s="139">
        <v>5150.1499999999996</v>
      </c>
      <c r="CE15" s="139">
        <v>5368.01</v>
      </c>
      <c r="CF15" s="139">
        <v>5367.68</v>
      </c>
      <c r="CG15" s="139">
        <v>5248.83</v>
      </c>
      <c r="CH15" s="139">
        <v>5371.81</v>
      </c>
      <c r="CI15" s="151">
        <v>5656.51</v>
      </c>
      <c r="CJ15" s="151">
        <v>5675.54</v>
      </c>
      <c r="CK15" s="156">
        <v>5775.25</v>
      </c>
      <c r="CL15" s="156">
        <v>5885.75</v>
      </c>
      <c r="CM15" s="162"/>
    </row>
    <row r="16" spans="2:91">
      <c r="B16" s="126"/>
      <c r="C16" s="127" t="s">
        <v>11</v>
      </c>
      <c r="D16" s="25" t="s">
        <v>15</v>
      </c>
      <c r="E16" s="10" t="s">
        <v>15</v>
      </c>
      <c r="F16" s="10" t="s">
        <v>15</v>
      </c>
      <c r="G16" s="10" t="s">
        <v>15</v>
      </c>
      <c r="H16" s="10" t="s">
        <v>15</v>
      </c>
      <c r="I16" s="10" t="s">
        <v>15</v>
      </c>
      <c r="J16" s="10" t="s">
        <v>15</v>
      </c>
      <c r="K16" s="10" t="s">
        <v>15</v>
      </c>
      <c r="L16" s="10" t="s">
        <v>15</v>
      </c>
      <c r="M16" s="10" t="s">
        <v>15</v>
      </c>
      <c r="N16" s="10" t="s">
        <v>15</v>
      </c>
      <c r="O16" s="10" t="s">
        <v>15</v>
      </c>
      <c r="P16" s="10" t="s">
        <v>15</v>
      </c>
      <c r="Q16" s="10" t="s">
        <v>15</v>
      </c>
      <c r="R16" s="10" t="s">
        <v>15</v>
      </c>
      <c r="S16" s="10" t="s">
        <v>15</v>
      </c>
      <c r="T16" s="10" t="s">
        <v>15</v>
      </c>
      <c r="U16" s="10" t="s">
        <v>15</v>
      </c>
      <c r="V16" s="10" t="s">
        <v>15</v>
      </c>
      <c r="W16" s="10" t="s">
        <v>15</v>
      </c>
      <c r="X16" s="10" t="s">
        <v>15</v>
      </c>
      <c r="Y16" s="10" t="s">
        <v>15</v>
      </c>
      <c r="Z16" s="10" t="s">
        <v>15</v>
      </c>
      <c r="AA16" s="10" t="s">
        <v>15</v>
      </c>
      <c r="AB16" s="10" t="s">
        <v>15</v>
      </c>
      <c r="AC16" s="10" t="s">
        <v>15</v>
      </c>
      <c r="AD16" s="10" t="s">
        <v>15</v>
      </c>
      <c r="AE16" s="10" t="s">
        <v>15</v>
      </c>
      <c r="AF16" s="26">
        <v>107.8</v>
      </c>
      <c r="AG16" s="26">
        <v>109</v>
      </c>
      <c r="AH16" s="26">
        <v>110.1</v>
      </c>
      <c r="AI16" s="26">
        <v>110.1</v>
      </c>
      <c r="AJ16" s="26">
        <v>111.7</v>
      </c>
      <c r="AK16" s="26">
        <v>112.3</v>
      </c>
      <c r="AL16" s="11">
        <v>110.4</v>
      </c>
      <c r="AM16" s="77">
        <v>107.2</v>
      </c>
      <c r="AN16" s="11">
        <v>106.3</v>
      </c>
      <c r="AO16" s="24">
        <v>103.7</v>
      </c>
      <c r="AP16" s="24">
        <v>103.9</v>
      </c>
      <c r="AQ16" s="24">
        <v>103.8</v>
      </c>
      <c r="AR16" s="11">
        <v>102.8</v>
      </c>
      <c r="AS16" s="24">
        <v>103.8</v>
      </c>
      <c r="AT16" s="6">
        <v>102</v>
      </c>
      <c r="AU16" s="24">
        <v>104.3</v>
      </c>
      <c r="AV16" s="13">
        <v>104.1</v>
      </c>
      <c r="AW16" s="6">
        <v>105</v>
      </c>
      <c r="AX16" s="6">
        <v>106.1</v>
      </c>
      <c r="AY16" s="71">
        <v>104.6</v>
      </c>
      <c r="AZ16" s="11">
        <v>105.3</v>
      </c>
      <c r="BA16" s="6">
        <v>103</v>
      </c>
      <c r="BB16" s="6">
        <v>102.7</v>
      </c>
      <c r="BC16" s="71">
        <v>102.8</v>
      </c>
      <c r="BD16" s="11">
        <v>102.1</v>
      </c>
      <c r="BE16" s="6">
        <v>102.9</v>
      </c>
      <c r="BF16" s="6">
        <v>103.3</v>
      </c>
      <c r="BG16" s="24">
        <v>103.3</v>
      </c>
      <c r="BH16" s="11">
        <v>104.2</v>
      </c>
      <c r="BI16" s="6">
        <v>104.1</v>
      </c>
      <c r="BJ16" s="6">
        <v>103.3</v>
      </c>
      <c r="BK16" s="71">
        <v>103.3</v>
      </c>
      <c r="BL16" s="77">
        <v>104</v>
      </c>
      <c r="BM16" s="6">
        <v>103.1</v>
      </c>
      <c r="BN16" s="6">
        <v>103.6</v>
      </c>
      <c r="BO16" s="71">
        <v>103.4</v>
      </c>
      <c r="BP16" s="77">
        <v>103.7</v>
      </c>
      <c r="BQ16" s="6">
        <v>104.4</v>
      </c>
      <c r="BR16" s="6">
        <v>104.2</v>
      </c>
      <c r="BS16" s="71">
        <v>102.9</v>
      </c>
      <c r="BT16" s="77">
        <v>104.5</v>
      </c>
      <c r="BU16" s="6">
        <v>105.4</v>
      </c>
      <c r="BV16" s="79">
        <v>106</v>
      </c>
      <c r="BW16" s="24">
        <v>107.6</v>
      </c>
      <c r="BX16" s="60">
        <v>107.1</v>
      </c>
      <c r="BY16" s="60">
        <v>107.5</v>
      </c>
      <c r="BZ16" s="60">
        <v>106.9</v>
      </c>
      <c r="CA16" s="61">
        <v>107</v>
      </c>
      <c r="CB16" s="61">
        <v>106.7</v>
      </c>
      <c r="CC16" s="61">
        <v>106.9</v>
      </c>
      <c r="CD16" s="61">
        <v>106.8</v>
      </c>
      <c r="CE16" s="61">
        <v>105.8</v>
      </c>
      <c r="CF16" s="61">
        <v>107</v>
      </c>
      <c r="CG16" s="61">
        <v>102.1</v>
      </c>
      <c r="CH16" s="61">
        <v>104.3</v>
      </c>
      <c r="CI16" s="61">
        <v>105.4</v>
      </c>
      <c r="CJ16" s="112">
        <v>105.7</v>
      </c>
      <c r="CK16" s="115">
        <v>110</v>
      </c>
      <c r="CL16" s="115">
        <v>109.6</v>
      </c>
      <c r="CM16" s="162"/>
    </row>
    <row r="17" spans="2:91" ht="15.75">
      <c r="B17" s="126"/>
      <c r="C17" s="127" t="s">
        <v>12</v>
      </c>
      <c r="D17" s="25" t="s">
        <v>15</v>
      </c>
      <c r="E17" s="10" t="s">
        <v>15</v>
      </c>
      <c r="F17" s="10" t="s">
        <v>15</v>
      </c>
      <c r="G17" s="10" t="s">
        <v>15</v>
      </c>
      <c r="H17" s="10" t="s">
        <v>15</v>
      </c>
      <c r="I17" s="10" t="s">
        <v>15</v>
      </c>
      <c r="J17" s="10" t="s">
        <v>15</v>
      </c>
      <c r="K17" s="10" t="s">
        <v>15</v>
      </c>
      <c r="L17" s="10" t="s">
        <v>15</v>
      </c>
      <c r="M17" s="10" t="s">
        <v>15</v>
      </c>
      <c r="N17" s="10" t="s">
        <v>15</v>
      </c>
      <c r="O17" s="10" t="s">
        <v>15</v>
      </c>
      <c r="P17" s="10" t="s">
        <v>15</v>
      </c>
      <c r="Q17" s="10" t="s">
        <v>15</v>
      </c>
      <c r="R17" s="10" t="s">
        <v>15</v>
      </c>
      <c r="S17" s="10" t="s">
        <v>15</v>
      </c>
      <c r="T17" s="10" t="s">
        <v>15</v>
      </c>
      <c r="U17" s="10" t="s">
        <v>15</v>
      </c>
      <c r="V17" s="10" t="s">
        <v>15</v>
      </c>
      <c r="W17" s="10" t="s">
        <v>15</v>
      </c>
      <c r="X17" s="10" t="s">
        <v>15</v>
      </c>
      <c r="Y17" s="10" t="s">
        <v>15</v>
      </c>
      <c r="Z17" s="10" t="s">
        <v>15</v>
      </c>
      <c r="AA17" s="10" t="s">
        <v>15</v>
      </c>
      <c r="AB17" s="10" t="s">
        <v>15</v>
      </c>
      <c r="AC17" s="10" t="s">
        <v>15</v>
      </c>
      <c r="AD17" s="10" t="s">
        <v>15</v>
      </c>
      <c r="AE17" s="10" t="s">
        <v>15</v>
      </c>
      <c r="AF17" s="26">
        <v>107.8</v>
      </c>
      <c r="AG17" s="26">
        <v>108.4</v>
      </c>
      <c r="AH17" s="26">
        <v>109</v>
      </c>
      <c r="AI17" s="26">
        <v>109.3</v>
      </c>
      <c r="AJ17" s="26">
        <v>111.7</v>
      </c>
      <c r="AK17" s="26">
        <v>112</v>
      </c>
      <c r="AL17" s="11">
        <v>111.4</v>
      </c>
      <c r="AM17" s="77">
        <v>110.3</v>
      </c>
      <c r="AN17" s="11">
        <v>106.3</v>
      </c>
      <c r="AO17" s="6">
        <v>105</v>
      </c>
      <c r="AP17" s="24">
        <v>104.6</v>
      </c>
      <c r="AQ17" s="24">
        <v>104.4</v>
      </c>
      <c r="AR17" s="11">
        <v>102.8</v>
      </c>
      <c r="AS17" s="6">
        <v>103.3</v>
      </c>
      <c r="AT17" s="24">
        <v>102.9</v>
      </c>
      <c r="AU17" s="55">
        <v>103.3</v>
      </c>
      <c r="AV17" s="13">
        <v>104.1</v>
      </c>
      <c r="AW17" s="6">
        <v>104.6</v>
      </c>
      <c r="AX17" s="24">
        <v>105.1</v>
      </c>
      <c r="AY17" s="69">
        <v>105</v>
      </c>
      <c r="AZ17" s="11">
        <v>105.3</v>
      </c>
      <c r="BA17" s="6">
        <v>104.2</v>
      </c>
      <c r="BB17" s="24">
        <v>103.7</v>
      </c>
      <c r="BC17" s="69">
        <v>103.4</v>
      </c>
      <c r="BD17" s="11">
        <v>102.1</v>
      </c>
      <c r="BE17" s="6">
        <v>102.5</v>
      </c>
      <c r="BF17" s="24">
        <v>102.8</v>
      </c>
      <c r="BG17" s="24">
        <v>102.9</v>
      </c>
      <c r="BH17" s="11">
        <v>104.2</v>
      </c>
      <c r="BI17" s="6">
        <v>104.1</v>
      </c>
      <c r="BJ17" s="24">
        <v>103.9</v>
      </c>
      <c r="BK17" s="71">
        <v>103.7</v>
      </c>
      <c r="BL17" s="77">
        <v>104</v>
      </c>
      <c r="BM17" s="6">
        <v>103.6</v>
      </c>
      <c r="BN17" s="24">
        <v>103.6</v>
      </c>
      <c r="BO17" s="71">
        <v>103.5</v>
      </c>
      <c r="BP17" s="77">
        <v>103.7</v>
      </c>
      <c r="BQ17" s="6">
        <v>104</v>
      </c>
      <c r="BR17" s="24">
        <v>104.1</v>
      </c>
      <c r="BS17" s="71">
        <v>103.8</v>
      </c>
      <c r="BT17" s="77">
        <v>104.5</v>
      </c>
      <c r="BU17" s="6">
        <v>105</v>
      </c>
      <c r="BV17" s="120">
        <v>105.3</v>
      </c>
      <c r="BW17" s="24">
        <v>105.9</v>
      </c>
      <c r="BX17" s="60">
        <v>107.1</v>
      </c>
      <c r="BY17" s="60">
        <v>107.3</v>
      </c>
      <c r="BZ17" s="144">
        <v>107.2</v>
      </c>
      <c r="CA17" s="148">
        <v>107.1</v>
      </c>
      <c r="CB17" s="148">
        <v>106.7</v>
      </c>
      <c r="CC17" s="148">
        <v>106.8</v>
      </c>
      <c r="CD17" s="148">
        <v>106.8</v>
      </c>
      <c r="CE17" s="148">
        <v>106.5</v>
      </c>
      <c r="CF17" s="61">
        <v>107</v>
      </c>
      <c r="CG17" s="148">
        <v>104.5</v>
      </c>
      <c r="CH17" s="148">
        <v>104.5</v>
      </c>
      <c r="CI17" s="148">
        <v>104.7</v>
      </c>
      <c r="CJ17" s="112">
        <v>105.7</v>
      </c>
      <c r="CK17" s="115">
        <v>107.8</v>
      </c>
      <c r="CL17" s="115">
        <v>108.4</v>
      </c>
      <c r="CM17" s="162"/>
    </row>
    <row r="18" spans="2:91">
      <c r="B18" s="126"/>
      <c r="C18" s="127" t="s">
        <v>13</v>
      </c>
      <c r="D18" s="25" t="s">
        <v>15</v>
      </c>
      <c r="E18" s="10" t="s">
        <v>15</v>
      </c>
      <c r="F18" s="10" t="s">
        <v>15</v>
      </c>
      <c r="G18" s="10" t="s">
        <v>15</v>
      </c>
      <c r="H18" s="10" t="s">
        <v>15</v>
      </c>
      <c r="I18" s="10" t="s">
        <v>15</v>
      </c>
      <c r="J18" s="10" t="s">
        <v>15</v>
      </c>
      <c r="K18" s="10" t="s">
        <v>15</v>
      </c>
      <c r="L18" s="10" t="s">
        <v>15</v>
      </c>
      <c r="M18" s="10" t="s">
        <v>15</v>
      </c>
      <c r="N18" s="10" t="s">
        <v>15</v>
      </c>
      <c r="O18" s="10" t="s">
        <v>15</v>
      </c>
      <c r="P18" s="10" t="s">
        <v>15</v>
      </c>
      <c r="Q18" s="10" t="s">
        <v>15</v>
      </c>
      <c r="R18" s="10" t="s">
        <v>15</v>
      </c>
      <c r="S18" s="10" t="s">
        <v>15</v>
      </c>
      <c r="T18" s="10" t="s">
        <v>15</v>
      </c>
      <c r="U18" s="10" t="s">
        <v>15</v>
      </c>
      <c r="V18" s="10" t="s">
        <v>15</v>
      </c>
      <c r="W18" s="10" t="s">
        <v>15</v>
      </c>
      <c r="X18" s="10" t="s">
        <v>15</v>
      </c>
      <c r="Y18" s="10" t="s">
        <v>15</v>
      </c>
      <c r="Z18" s="10" t="s">
        <v>15</v>
      </c>
      <c r="AA18" s="10" t="s">
        <v>15</v>
      </c>
      <c r="AB18" s="10" t="s">
        <v>15</v>
      </c>
      <c r="AC18" s="10" t="s">
        <v>15</v>
      </c>
      <c r="AD18" s="10" t="s">
        <v>15</v>
      </c>
      <c r="AE18" s="10" t="s">
        <v>15</v>
      </c>
      <c r="AF18" s="26">
        <v>97</v>
      </c>
      <c r="AG18" s="26">
        <v>102.8</v>
      </c>
      <c r="AH18" s="26">
        <v>102.8</v>
      </c>
      <c r="AI18" s="26">
        <v>107.4</v>
      </c>
      <c r="AJ18" s="26">
        <v>98.4</v>
      </c>
      <c r="AK18" s="26">
        <v>103.3</v>
      </c>
      <c r="AL18" s="11">
        <v>101.1</v>
      </c>
      <c r="AM18" s="77">
        <v>104.2</v>
      </c>
      <c r="AN18" s="11">
        <v>97.6</v>
      </c>
      <c r="AO18" s="24">
        <v>100.9</v>
      </c>
      <c r="AP18" s="24">
        <v>101.2</v>
      </c>
      <c r="AQ18" s="24">
        <v>104.2</v>
      </c>
      <c r="AR18" s="11">
        <v>96.7</v>
      </c>
      <c r="AS18" s="24">
        <v>101.8</v>
      </c>
      <c r="AT18" s="24">
        <v>99.5</v>
      </c>
      <c r="AU18" s="55">
        <v>106.5</v>
      </c>
      <c r="AV18" s="13">
        <v>96.5</v>
      </c>
      <c r="AW18" s="6">
        <v>102.7</v>
      </c>
      <c r="AX18" s="24">
        <v>100.6</v>
      </c>
      <c r="AY18" s="70">
        <v>104.9</v>
      </c>
      <c r="AZ18" s="11">
        <v>97.2</v>
      </c>
      <c r="BA18" s="6">
        <v>100.5</v>
      </c>
      <c r="BB18" s="6">
        <v>100.2</v>
      </c>
      <c r="BC18" s="70">
        <v>105.1</v>
      </c>
      <c r="BD18" s="11">
        <v>96.5</v>
      </c>
      <c r="BE18" s="6">
        <v>101.3</v>
      </c>
      <c r="BF18" s="6">
        <v>100.7</v>
      </c>
      <c r="BG18" s="24">
        <v>105.1</v>
      </c>
      <c r="BH18" s="11">
        <v>97.3</v>
      </c>
      <c r="BI18" s="6">
        <v>101.2</v>
      </c>
      <c r="BJ18" s="6">
        <v>99.9</v>
      </c>
      <c r="BK18" s="71">
        <v>105.1</v>
      </c>
      <c r="BL18" s="77">
        <v>97.9</v>
      </c>
      <c r="BM18" s="6">
        <v>100.3</v>
      </c>
      <c r="BN18" s="6">
        <v>100.4</v>
      </c>
      <c r="BO18" s="71">
        <v>104.9</v>
      </c>
      <c r="BP18" s="77">
        <v>98.2</v>
      </c>
      <c r="BQ18" s="6">
        <v>101.1</v>
      </c>
      <c r="BR18" s="6">
        <v>100.2</v>
      </c>
      <c r="BS18" s="71">
        <v>103.5</v>
      </c>
      <c r="BT18" s="77">
        <v>99.7</v>
      </c>
      <c r="BU18" s="6">
        <v>102</v>
      </c>
      <c r="BV18" s="79">
        <v>100.8</v>
      </c>
      <c r="BW18" s="24">
        <v>105.1</v>
      </c>
      <c r="BX18" s="60">
        <v>99.2</v>
      </c>
      <c r="BY18" s="60">
        <v>102.4</v>
      </c>
      <c r="BZ18" s="60">
        <v>100.2</v>
      </c>
      <c r="CA18" s="148">
        <v>105.2</v>
      </c>
      <c r="CB18" s="148">
        <v>98.9</v>
      </c>
      <c r="CC18" s="148">
        <v>102.5</v>
      </c>
      <c r="CD18" s="148">
        <v>100.1</v>
      </c>
      <c r="CE18" s="148">
        <v>104.2</v>
      </c>
      <c r="CF18" s="61">
        <v>100</v>
      </c>
      <c r="CG18" s="148">
        <v>97.8</v>
      </c>
      <c r="CH18" s="148">
        <v>102.3</v>
      </c>
      <c r="CI18" s="148">
        <v>105.3</v>
      </c>
      <c r="CJ18" s="112">
        <v>100.3</v>
      </c>
      <c r="CK18" s="115">
        <v>101.8</v>
      </c>
      <c r="CL18" s="115">
        <v>101.9</v>
      </c>
      <c r="CM18" s="162"/>
    </row>
    <row r="19" spans="2:91">
      <c r="B19" s="130" t="s">
        <v>17</v>
      </c>
      <c r="C19" s="127" t="s">
        <v>10</v>
      </c>
      <c r="D19" s="27" t="s">
        <v>15</v>
      </c>
      <c r="E19" s="28" t="s">
        <v>15</v>
      </c>
      <c r="F19" s="28" t="s">
        <v>15</v>
      </c>
      <c r="G19" s="28" t="s">
        <v>15</v>
      </c>
      <c r="H19" s="28" t="s">
        <v>15</v>
      </c>
      <c r="I19" s="28" t="s">
        <v>15</v>
      </c>
      <c r="J19" s="28" t="s">
        <v>15</v>
      </c>
      <c r="K19" s="28" t="s">
        <v>15</v>
      </c>
      <c r="L19" s="28" t="s">
        <v>15</v>
      </c>
      <c r="M19" s="28" t="s">
        <v>15</v>
      </c>
      <c r="N19" s="28" t="s">
        <v>15</v>
      </c>
      <c r="O19" s="28" t="s">
        <v>15</v>
      </c>
      <c r="P19" s="28" t="s">
        <v>15</v>
      </c>
      <c r="Q19" s="28" t="s">
        <v>15</v>
      </c>
      <c r="R19" s="28" t="s">
        <v>15</v>
      </c>
      <c r="S19" s="28" t="s">
        <v>15</v>
      </c>
      <c r="T19" s="28" t="s">
        <v>15</v>
      </c>
      <c r="U19" s="28" t="s">
        <v>15</v>
      </c>
      <c r="V19" s="28" t="s">
        <v>15</v>
      </c>
      <c r="W19" s="28" t="s">
        <v>15</v>
      </c>
      <c r="X19" s="28" t="s">
        <v>15</v>
      </c>
      <c r="Y19" s="28" t="s">
        <v>15</v>
      </c>
      <c r="Z19" s="28" t="s">
        <v>15</v>
      </c>
      <c r="AA19" s="28" t="s">
        <v>15</v>
      </c>
      <c r="AB19" s="28" t="s">
        <v>15</v>
      </c>
      <c r="AC19" s="28" t="s">
        <v>15</v>
      </c>
      <c r="AD19" s="28" t="s">
        <v>15</v>
      </c>
      <c r="AE19" s="28" t="s">
        <v>15</v>
      </c>
      <c r="AF19" s="84">
        <v>2758.76</v>
      </c>
      <c r="AG19" s="84">
        <v>2808.46</v>
      </c>
      <c r="AH19" s="94">
        <v>2889.45</v>
      </c>
      <c r="AI19" s="94">
        <v>3094.32</v>
      </c>
      <c r="AJ19" s="94">
        <v>3041.16</v>
      </c>
      <c r="AK19" s="94">
        <v>3118.55</v>
      </c>
      <c r="AL19" s="94">
        <v>3161.81</v>
      </c>
      <c r="AM19" s="92">
        <v>3298</v>
      </c>
      <c r="AN19" s="84">
        <v>3217.65</v>
      </c>
      <c r="AO19" s="85">
        <v>3251.63</v>
      </c>
      <c r="AP19" s="85">
        <v>3290.22</v>
      </c>
      <c r="AQ19" s="85">
        <v>3482.25</v>
      </c>
      <c r="AR19" s="84">
        <v>3369.65</v>
      </c>
      <c r="AS19" s="86">
        <v>3399.35</v>
      </c>
      <c r="AT19" s="87">
        <v>3457.86</v>
      </c>
      <c r="AU19" s="85">
        <v>3699.49</v>
      </c>
      <c r="AV19" s="89">
        <v>3512.11</v>
      </c>
      <c r="AW19" s="86">
        <v>3639.5</v>
      </c>
      <c r="AX19" s="87">
        <v>3672.63</v>
      </c>
      <c r="AY19" s="91">
        <v>3870.18</v>
      </c>
      <c r="AZ19" s="84">
        <v>3741.88</v>
      </c>
      <c r="BA19" s="80">
        <v>3772.5</v>
      </c>
      <c r="BB19" s="85">
        <v>3769.29</v>
      </c>
      <c r="BC19" s="91">
        <v>4043.1</v>
      </c>
      <c r="BD19" s="84">
        <v>3825.65</v>
      </c>
      <c r="BE19" s="80">
        <v>3875.97</v>
      </c>
      <c r="BF19" s="85">
        <v>3924.55</v>
      </c>
      <c r="BG19" s="85">
        <v>4192.38</v>
      </c>
      <c r="BH19" s="84">
        <v>3982.39</v>
      </c>
      <c r="BI19" s="80">
        <v>4029.35</v>
      </c>
      <c r="BJ19" s="85">
        <v>4024.99</v>
      </c>
      <c r="BK19" s="91">
        <v>4292.2</v>
      </c>
      <c r="BL19" s="92">
        <v>4111.8900000000003</v>
      </c>
      <c r="BM19" s="80">
        <v>4120.43</v>
      </c>
      <c r="BN19" s="85">
        <v>4124.24</v>
      </c>
      <c r="BO19" s="91">
        <v>4406.6099999999997</v>
      </c>
      <c r="BP19" s="92">
        <v>4233.42</v>
      </c>
      <c r="BQ19" s="80">
        <v>4252.6499999999996</v>
      </c>
      <c r="BR19" s="85">
        <v>4315.08</v>
      </c>
      <c r="BS19" s="91">
        <v>4498.18</v>
      </c>
      <c r="BT19" s="92">
        <v>4408.47</v>
      </c>
      <c r="BU19" s="80">
        <v>4504.8900000000003</v>
      </c>
      <c r="BV19" s="118">
        <v>4540.04</v>
      </c>
      <c r="BW19" s="85">
        <v>4805.63</v>
      </c>
      <c r="BX19" s="145">
        <v>4705.67</v>
      </c>
      <c r="BY19" s="145">
        <v>4857.38</v>
      </c>
      <c r="BZ19" s="145">
        <v>4854.78</v>
      </c>
      <c r="CA19" s="149">
        <v>5180.8999999999996</v>
      </c>
      <c r="CB19" s="149">
        <v>5035.9799999999996</v>
      </c>
      <c r="CC19" s="149">
        <v>5164.9399999999996</v>
      </c>
      <c r="CD19" s="149">
        <v>5207.63</v>
      </c>
      <c r="CE19" s="149">
        <v>5448.29</v>
      </c>
      <c r="CF19" s="149">
        <v>5368.95</v>
      </c>
      <c r="CG19" s="149">
        <v>5212.6099999999997</v>
      </c>
      <c r="CH19" s="149">
        <v>5397.57</v>
      </c>
      <c r="CI19" s="149">
        <v>5818.05</v>
      </c>
      <c r="CJ19" s="164">
        <v>5696.99</v>
      </c>
      <c r="CK19" s="156">
        <v>5806.87</v>
      </c>
      <c r="CL19" s="170">
        <v>5881.63</v>
      </c>
      <c r="CM19" s="162"/>
    </row>
    <row r="20" spans="2:91">
      <c r="B20" s="131" t="s">
        <v>18</v>
      </c>
      <c r="C20" s="127" t="s">
        <v>10</v>
      </c>
      <c r="D20" s="27" t="s">
        <v>15</v>
      </c>
      <c r="E20" s="28" t="s">
        <v>15</v>
      </c>
      <c r="F20" s="28" t="s">
        <v>15</v>
      </c>
      <c r="G20" s="28" t="s">
        <v>15</v>
      </c>
      <c r="H20" s="28" t="s">
        <v>15</v>
      </c>
      <c r="I20" s="28" t="s">
        <v>15</v>
      </c>
      <c r="J20" s="28" t="s">
        <v>15</v>
      </c>
      <c r="K20" s="28" t="s">
        <v>15</v>
      </c>
      <c r="L20" s="28" t="s">
        <v>15</v>
      </c>
      <c r="M20" s="28" t="s">
        <v>15</v>
      </c>
      <c r="N20" s="28" t="s">
        <v>15</v>
      </c>
      <c r="O20" s="28" t="s">
        <v>15</v>
      </c>
      <c r="P20" s="28" t="s">
        <v>15</v>
      </c>
      <c r="Q20" s="28" t="s">
        <v>15</v>
      </c>
      <c r="R20" s="28" t="s">
        <v>15</v>
      </c>
      <c r="S20" s="28" t="s">
        <v>15</v>
      </c>
      <c r="T20" s="28" t="s">
        <v>15</v>
      </c>
      <c r="U20" s="28" t="s">
        <v>15</v>
      </c>
      <c r="V20" s="28" t="s">
        <v>15</v>
      </c>
      <c r="W20" s="28" t="s">
        <v>15</v>
      </c>
      <c r="X20" s="28" t="s">
        <v>15</v>
      </c>
      <c r="Y20" s="28" t="s">
        <v>15</v>
      </c>
      <c r="Z20" s="28" t="s">
        <v>15</v>
      </c>
      <c r="AA20" s="28" t="s">
        <v>15</v>
      </c>
      <c r="AB20" s="28" t="s">
        <v>15</v>
      </c>
      <c r="AC20" s="28" t="s">
        <v>15</v>
      </c>
      <c r="AD20" s="28" t="s">
        <v>15</v>
      </c>
      <c r="AE20" s="28" t="s">
        <v>15</v>
      </c>
      <c r="AF20" s="95">
        <v>4532.34</v>
      </c>
      <c r="AG20" s="95">
        <v>4307.43</v>
      </c>
      <c r="AH20" s="94">
        <v>4547.95</v>
      </c>
      <c r="AI20" s="96">
        <v>6381.9</v>
      </c>
      <c r="AJ20" s="96">
        <v>5061.83</v>
      </c>
      <c r="AK20" s="96">
        <v>5060.1400000000003</v>
      </c>
      <c r="AL20" s="96">
        <v>4993.0600000000004</v>
      </c>
      <c r="AM20" s="96">
        <v>6749.51</v>
      </c>
      <c r="AN20" s="84">
        <v>5413.49</v>
      </c>
      <c r="AO20" s="85">
        <v>5300.98</v>
      </c>
      <c r="AP20" s="85">
        <v>5187.13</v>
      </c>
      <c r="AQ20" s="85">
        <v>6972.59</v>
      </c>
      <c r="AR20" s="84">
        <v>5337.87</v>
      </c>
      <c r="AS20" s="85">
        <v>5382.49</v>
      </c>
      <c r="AT20" s="85">
        <v>5327.06</v>
      </c>
      <c r="AU20" s="85">
        <v>7524.41</v>
      </c>
      <c r="AV20" s="89">
        <v>5542.68</v>
      </c>
      <c r="AW20" s="86">
        <v>6163.66</v>
      </c>
      <c r="AX20" s="85">
        <v>6072.7</v>
      </c>
      <c r="AY20" s="91">
        <v>7819.66</v>
      </c>
      <c r="AZ20" s="84">
        <v>5832.17</v>
      </c>
      <c r="BA20" s="80">
        <v>6415.76</v>
      </c>
      <c r="BB20" s="85">
        <v>5920.08</v>
      </c>
      <c r="BC20" s="91">
        <v>8426.77</v>
      </c>
      <c r="BD20" s="84">
        <v>6060.28</v>
      </c>
      <c r="BE20" s="80">
        <v>6289.95</v>
      </c>
      <c r="BF20" s="85">
        <v>6060.89</v>
      </c>
      <c r="BG20" s="85">
        <v>8615.3700000000008</v>
      </c>
      <c r="BH20" s="84">
        <v>6333.21</v>
      </c>
      <c r="BI20" s="80">
        <v>6381.69</v>
      </c>
      <c r="BJ20" s="85">
        <v>6043.74</v>
      </c>
      <c r="BK20" s="91">
        <v>8771.3799999999992</v>
      </c>
      <c r="BL20" s="92">
        <v>6305.35</v>
      </c>
      <c r="BM20" s="80">
        <v>6457.98</v>
      </c>
      <c r="BN20" s="85">
        <v>6135.23</v>
      </c>
      <c r="BO20" s="91">
        <v>8900.4599999999991</v>
      </c>
      <c r="BP20" s="92">
        <v>6095.89</v>
      </c>
      <c r="BQ20" s="80">
        <v>6056.33</v>
      </c>
      <c r="BR20" s="85">
        <v>6798.11</v>
      </c>
      <c r="BS20" s="91">
        <v>8114.19</v>
      </c>
      <c r="BT20" s="92">
        <v>6361.6</v>
      </c>
      <c r="BU20" s="80">
        <v>6598.09</v>
      </c>
      <c r="BV20" s="118">
        <v>6643.43</v>
      </c>
      <c r="BW20" s="85">
        <v>9141.98</v>
      </c>
      <c r="BX20" s="145">
        <v>6442.24</v>
      </c>
      <c r="BY20" s="145">
        <v>7962.12</v>
      </c>
      <c r="BZ20" s="145">
        <v>7026.95</v>
      </c>
      <c r="CA20" s="149">
        <v>10338.030000000001</v>
      </c>
      <c r="CB20" s="149">
        <v>7511.76</v>
      </c>
      <c r="CC20" s="149">
        <v>7904.94</v>
      </c>
      <c r="CD20" s="149">
        <v>7946.79</v>
      </c>
      <c r="CE20" s="149">
        <v>10482.01</v>
      </c>
      <c r="CF20" s="149">
        <v>7819.35</v>
      </c>
      <c r="CG20" s="149">
        <v>8103.16</v>
      </c>
      <c r="CH20" s="149">
        <v>7601.13</v>
      </c>
      <c r="CI20" s="149">
        <v>10963.43</v>
      </c>
      <c r="CJ20" s="164">
        <v>8070.12</v>
      </c>
      <c r="CK20" s="156">
        <v>8687.24</v>
      </c>
      <c r="CL20" s="168">
        <v>8450.81</v>
      </c>
      <c r="CM20" s="162"/>
    </row>
    <row r="21" spans="2:91">
      <c r="B21" s="132" t="s">
        <v>19</v>
      </c>
      <c r="C21" s="127" t="s">
        <v>10</v>
      </c>
      <c r="D21" s="27" t="s">
        <v>15</v>
      </c>
      <c r="E21" s="28" t="s">
        <v>15</v>
      </c>
      <c r="F21" s="28" t="s">
        <v>15</v>
      </c>
      <c r="G21" s="28" t="s">
        <v>15</v>
      </c>
      <c r="H21" s="28" t="s">
        <v>15</v>
      </c>
      <c r="I21" s="28" t="s">
        <v>15</v>
      </c>
      <c r="J21" s="28" t="s">
        <v>15</v>
      </c>
      <c r="K21" s="28" t="s">
        <v>15</v>
      </c>
      <c r="L21" s="28" t="s">
        <v>15</v>
      </c>
      <c r="M21" s="28" t="s">
        <v>15</v>
      </c>
      <c r="N21" s="28" t="s">
        <v>15</v>
      </c>
      <c r="O21" s="28" t="s">
        <v>15</v>
      </c>
      <c r="P21" s="28" t="s">
        <v>15</v>
      </c>
      <c r="Q21" s="28" t="s">
        <v>15</v>
      </c>
      <c r="R21" s="28" t="s">
        <v>15</v>
      </c>
      <c r="S21" s="28" t="s">
        <v>15</v>
      </c>
      <c r="T21" s="28" t="s">
        <v>15</v>
      </c>
      <c r="U21" s="28" t="s">
        <v>15</v>
      </c>
      <c r="V21" s="28" t="s">
        <v>15</v>
      </c>
      <c r="W21" s="28" t="s">
        <v>15</v>
      </c>
      <c r="X21" s="28" t="s">
        <v>15</v>
      </c>
      <c r="Y21" s="28" t="s">
        <v>15</v>
      </c>
      <c r="Z21" s="28" t="s">
        <v>15</v>
      </c>
      <c r="AA21" s="28" t="s">
        <v>15</v>
      </c>
      <c r="AB21" s="28" t="s">
        <v>15</v>
      </c>
      <c r="AC21" s="28" t="s">
        <v>15</v>
      </c>
      <c r="AD21" s="28" t="s">
        <v>15</v>
      </c>
      <c r="AE21" s="28" t="s">
        <v>15</v>
      </c>
      <c r="AF21" s="93">
        <v>2516.41</v>
      </c>
      <c r="AG21" s="93">
        <v>2607.54</v>
      </c>
      <c r="AH21" s="96">
        <v>2678.25</v>
      </c>
      <c r="AI21" s="93">
        <v>2741.08</v>
      </c>
      <c r="AJ21" s="93">
        <v>2783.97</v>
      </c>
      <c r="AK21" s="93">
        <v>2894.31</v>
      </c>
      <c r="AL21" s="84">
        <v>2924.7</v>
      </c>
      <c r="AM21" s="92">
        <v>2904.27</v>
      </c>
      <c r="AN21" s="84">
        <v>2920.78</v>
      </c>
      <c r="AO21" s="85">
        <v>2968.47</v>
      </c>
      <c r="AP21" s="85">
        <v>3016.06</v>
      </c>
      <c r="AQ21" s="85">
        <v>3051.59</v>
      </c>
      <c r="AR21" s="84">
        <v>3059.96</v>
      </c>
      <c r="AS21" s="87">
        <v>3124</v>
      </c>
      <c r="AT21" s="85">
        <v>3173.8</v>
      </c>
      <c r="AU21" s="85">
        <v>3229.36</v>
      </c>
      <c r="AV21" s="89">
        <v>3206.55</v>
      </c>
      <c r="AW21" s="87">
        <v>3321.82</v>
      </c>
      <c r="AX21" s="85">
        <v>3352.42</v>
      </c>
      <c r="AY21" s="91">
        <v>3394.7</v>
      </c>
      <c r="AZ21" s="84">
        <v>3421.81</v>
      </c>
      <c r="BA21" s="85">
        <v>3456.98</v>
      </c>
      <c r="BB21" s="85">
        <v>3463.43</v>
      </c>
      <c r="BC21" s="91">
        <v>3522.08</v>
      </c>
      <c r="BD21" s="84">
        <v>3491.43</v>
      </c>
      <c r="BE21" s="85">
        <v>3559.5</v>
      </c>
      <c r="BF21" s="85">
        <v>3625.28</v>
      </c>
      <c r="BG21" s="85">
        <v>3689.73</v>
      </c>
      <c r="BH21" s="84">
        <v>3663.13</v>
      </c>
      <c r="BI21" s="85">
        <v>3743.13</v>
      </c>
      <c r="BJ21" s="85">
        <v>3746.88</v>
      </c>
      <c r="BK21" s="91">
        <v>3833.55</v>
      </c>
      <c r="BL21" s="92">
        <v>3818.61</v>
      </c>
      <c r="BM21" s="85">
        <v>3863.25</v>
      </c>
      <c r="BN21" s="85">
        <v>3876.86</v>
      </c>
      <c r="BO21" s="91">
        <v>3971.21</v>
      </c>
      <c r="BP21" s="92">
        <v>3975</v>
      </c>
      <c r="BQ21" s="85">
        <v>4042.56</v>
      </c>
      <c r="BR21" s="85">
        <v>4061.49</v>
      </c>
      <c r="BS21" s="91">
        <v>4139.24</v>
      </c>
      <c r="BT21" s="92">
        <v>4181.25</v>
      </c>
      <c r="BU21" s="85">
        <v>4289.47</v>
      </c>
      <c r="BV21" s="118">
        <v>4331.12</v>
      </c>
      <c r="BW21" s="85">
        <v>4441.8100000000004</v>
      </c>
      <c r="BX21" s="145">
        <v>4483.92</v>
      </c>
      <c r="BY21" s="145">
        <v>4608.97</v>
      </c>
      <c r="BZ21" s="145">
        <v>4649.04</v>
      </c>
      <c r="CA21" s="149">
        <v>4790.1899999999996</v>
      </c>
      <c r="CB21" s="149">
        <v>4793.7700000000004</v>
      </c>
      <c r="CC21" s="149">
        <v>4941.42</v>
      </c>
      <c r="CD21" s="149">
        <v>4962.38</v>
      </c>
      <c r="CE21" s="149">
        <v>5062.38</v>
      </c>
      <c r="CF21" s="149">
        <v>5119.22</v>
      </c>
      <c r="CG21" s="149">
        <v>4965.1499999999996</v>
      </c>
      <c r="CH21" s="149">
        <v>5181.74</v>
      </c>
      <c r="CI21" s="149">
        <v>5423.43</v>
      </c>
      <c r="CJ21" s="164">
        <v>5453.83</v>
      </c>
      <c r="CK21" s="156">
        <v>5595.87</v>
      </c>
      <c r="CL21" s="168">
        <v>5653.43</v>
      </c>
      <c r="CM21" s="162"/>
    </row>
    <row r="22" spans="2:91" ht="27.75">
      <c r="B22" s="121" t="s">
        <v>20</v>
      </c>
      <c r="C22" s="127" t="s">
        <v>10</v>
      </c>
      <c r="D22" s="27" t="s">
        <v>15</v>
      </c>
      <c r="E22" s="28" t="s">
        <v>15</v>
      </c>
      <c r="F22" s="28" t="s">
        <v>15</v>
      </c>
      <c r="G22" s="28" t="s">
        <v>15</v>
      </c>
      <c r="H22" s="28" t="s">
        <v>15</v>
      </c>
      <c r="I22" s="28" t="s">
        <v>15</v>
      </c>
      <c r="J22" s="28" t="s">
        <v>15</v>
      </c>
      <c r="K22" s="28" t="s">
        <v>15</v>
      </c>
      <c r="L22" s="28" t="s">
        <v>15</v>
      </c>
      <c r="M22" s="28" t="s">
        <v>15</v>
      </c>
      <c r="N22" s="28" t="s">
        <v>15</v>
      </c>
      <c r="O22" s="28" t="s">
        <v>15</v>
      </c>
      <c r="P22" s="28" t="s">
        <v>15</v>
      </c>
      <c r="Q22" s="28" t="s">
        <v>15</v>
      </c>
      <c r="R22" s="28" t="s">
        <v>15</v>
      </c>
      <c r="S22" s="28" t="s">
        <v>15</v>
      </c>
      <c r="T22" s="28" t="s">
        <v>15</v>
      </c>
      <c r="U22" s="28" t="s">
        <v>15</v>
      </c>
      <c r="V22" s="28" t="s">
        <v>15</v>
      </c>
      <c r="W22" s="28" t="s">
        <v>15</v>
      </c>
      <c r="X22" s="28" t="s">
        <v>15</v>
      </c>
      <c r="Y22" s="28" t="s">
        <v>15</v>
      </c>
      <c r="Z22" s="28" t="s">
        <v>15</v>
      </c>
      <c r="AA22" s="28" t="s">
        <v>15</v>
      </c>
      <c r="AB22" s="28" t="s">
        <v>15</v>
      </c>
      <c r="AC22" s="28" t="s">
        <v>15</v>
      </c>
      <c r="AD22" s="28" t="s">
        <v>15</v>
      </c>
      <c r="AE22" s="28" t="s">
        <v>15</v>
      </c>
      <c r="AF22" s="93">
        <v>4171.1499999999996</v>
      </c>
      <c r="AG22" s="93">
        <v>4018.97</v>
      </c>
      <c r="AH22" s="97">
        <v>4104.74</v>
      </c>
      <c r="AI22" s="93">
        <v>4424.7700000000004</v>
      </c>
      <c r="AJ22" s="93">
        <v>4534.82</v>
      </c>
      <c r="AK22" s="93">
        <v>4229.43</v>
      </c>
      <c r="AL22" s="84">
        <v>4538.22</v>
      </c>
      <c r="AM22" s="92">
        <v>4933.57</v>
      </c>
      <c r="AN22" s="84">
        <v>4795.6099999999997</v>
      </c>
      <c r="AO22" s="85">
        <v>4777.12</v>
      </c>
      <c r="AP22" s="85">
        <v>4802.5600000000004</v>
      </c>
      <c r="AQ22" s="85">
        <v>5168.82</v>
      </c>
      <c r="AR22" s="84">
        <v>5225.68</v>
      </c>
      <c r="AS22" s="87">
        <v>4875.7700000000004</v>
      </c>
      <c r="AT22" s="87">
        <v>5220.97</v>
      </c>
      <c r="AU22" s="85">
        <v>5864.35</v>
      </c>
      <c r="AV22" s="89">
        <v>5487.46</v>
      </c>
      <c r="AW22" s="87">
        <v>5338.56</v>
      </c>
      <c r="AX22" s="87">
        <v>5559.59</v>
      </c>
      <c r="AY22" s="91">
        <v>6130.62</v>
      </c>
      <c r="AZ22" s="84">
        <v>5937.3</v>
      </c>
      <c r="BA22" s="85">
        <v>5334.31</v>
      </c>
      <c r="BB22" s="85">
        <v>5790.49</v>
      </c>
      <c r="BC22" s="91">
        <v>6534.72</v>
      </c>
      <c r="BD22" s="84">
        <v>6195.72</v>
      </c>
      <c r="BE22" s="85">
        <v>5828.06</v>
      </c>
      <c r="BF22" s="85">
        <v>6020.95</v>
      </c>
      <c r="BG22" s="85">
        <v>6736.34</v>
      </c>
      <c r="BH22" s="84">
        <v>6358.44</v>
      </c>
      <c r="BI22" s="85">
        <v>6019.6</v>
      </c>
      <c r="BJ22" s="85">
        <v>6391.82</v>
      </c>
      <c r="BK22" s="91">
        <v>6747.38</v>
      </c>
      <c r="BL22" s="92">
        <v>6689.94</v>
      </c>
      <c r="BM22" s="85">
        <v>6042.42</v>
      </c>
      <c r="BN22" s="85">
        <v>6302.71</v>
      </c>
      <c r="BO22" s="91">
        <v>7204.53</v>
      </c>
      <c r="BP22" s="92">
        <v>7063.92</v>
      </c>
      <c r="BQ22" s="85">
        <v>6376.78</v>
      </c>
      <c r="BR22" s="85">
        <v>6572.55</v>
      </c>
      <c r="BS22" s="91">
        <v>7396.38</v>
      </c>
      <c r="BT22" s="92">
        <v>6996.8</v>
      </c>
      <c r="BU22" s="85">
        <v>6809.17</v>
      </c>
      <c r="BV22" s="118">
        <v>6766.58</v>
      </c>
      <c r="BW22" s="85">
        <v>7616.42</v>
      </c>
      <c r="BX22" s="145">
        <v>7706.82</v>
      </c>
      <c r="BY22" s="145">
        <v>7073.98</v>
      </c>
      <c r="BZ22" s="145">
        <v>7151.14</v>
      </c>
      <c r="CA22" s="149">
        <v>7905.97</v>
      </c>
      <c r="CB22" s="149">
        <v>7802.75</v>
      </c>
      <c r="CC22" s="149">
        <v>7356</v>
      </c>
      <c r="CD22" s="149">
        <v>7789.4</v>
      </c>
      <c r="CE22" s="149">
        <v>8345.57</v>
      </c>
      <c r="CF22" s="149">
        <v>8382.84</v>
      </c>
      <c r="CG22" s="149">
        <v>7593.55</v>
      </c>
      <c r="CH22" s="149">
        <v>7879.29</v>
      </c>
      <c r="CI22" s="149">
        <v>9051.2800000000007</v>
      </c>
      <c r="CJ22" s="164">
        <v>8772.7199999999993</v>
      </c>
      <c r="CK22" s="156">
        <v>7965.09</v>
      </c>
      <c r="CL22" s="168">
        <v>8614.93</v>
      </c>
      <c r="CM22" s="162"/>
    </row>
    <row r="23" spans="2:91" ht="27.75">
      <c r="B23" s="121" t="s">
        <v>21</v>
      </c>
      <c r="C23" s="127" t="s">
        <v>10</v>
      </c>
      <c r="D23" s="27" t="s">
        <v>15</v>
      </c>
      <c r="E23" s="28" t="s">
        <v>15</v>
      </c>
      <c r="F23" s="28" t="s">
        <v>15</v>
      </c>
      <c r="G23" s="28" t="s">
        <v>15</v>
      </c>
      <c r="H23" s="28" t="s">
        <v>15</v>
      </c>
      <c r="I23" s="28" t="s">
        <v>15</v>
      </c>
      <c r="J23" s="28" t="s">
        <v>15</v>
      </c>
      <c r="K23" s="28" t="s">
        <v>15</v>
      </c>
      <c r="L23" s="28" t="s">
        <v>15</v>
      </c>
      <c r="M23" s="28" t="s">
        <v>15</v>
      </c>
      <c r="N23" s="28" t="s">
        <v>15</v>
      </c>
      <c r="O23" s="28" t="s">
        <v>15</v>
      </c>
      <c r="P23" s="28" t="s">
        <v>15</v>
      </c>
      <c r="Q23" s="28" t="s">
        <v>15</v>
      </c>
      <c r="R23" s="28" t="s">
        <v>15</v>
      </c>
      <c r="S23" s="28" t="s">
        <v>15</v>
      </c>
      <c r="T23" s="28" t="s">
        <v>15</v>
      </c>
      <c r="U23" s="28" t="s">
        <v>15</v>
      </c>
      <c r="V23" s="28" t="s">
        <v>15</v>
      </c>
      <c r="W23" s="28" t="s">
        <v>15</v>
      </c>
      <c r="X23" s="28" t="s">
        <v>15</v>
      </c>
      <c r="Y23" s="28" t="s">
        <v>15</v>
      </c>
      <c r="Z23" s="28" t="s">
        <v>15</v>
      </c>
      <c r="AA23" s="28" t="s">
        <v>15</v>
      </c>
      <c r="AB23" s="28" t="s">
        <v>15</v>
      </c>
      <c r="AC23" s="28" t="s">
        <v>15</v>
      </c>
      <c r="AD23" s="28" t="s">
        <v>15</v>
      </c>
      <c r="AE23" s="28" t="s">
        <v>15</v>
      </c>
      <c r="AF23" s="93">
        <v>2620.64</v>
      </c>
      <c r="AG23" s="93">
        <v>2620.35</v>
      </c>
      <c r="AH23" s="93">
        <v>2668.8</v>
      </c>
      <c r="AI23" s="93">
        <v>2931.04</v>
      </c>
      <c r="AJ23" s="93">
        <v>2843.44</v>
      </c>
      <c r="AK23" s="93">
        <v>2917.38</v>
      </c>
      <c r="AL23" s="84">
        <v>2978.69</v>
      </c>
      <c r="AM23" s="92">
        <v>3176.5</v>
      </c>
      <c r="AN23" s="84">
        <v>3080.97</v>
      </c>
      <c r="AO23" s="85">
        <v>3069.43</v>
      </c>
      <c r="AP23" s="85">
        <v>3144.56</v>
      </c>
      <c r="AQ23" s="85">
        <v>3368.53</v>
      </c>
      <c r="AR23" s="84">
        <v>3275.76</v>
      </c>
      <c r="AS23" s="87">
        <v>3235.19</v>
      </c>
      <c r="AT23" s="85">
        <v>3303.62</v>
      </c>
      <c r="AU23" s="85">
        <v>3530.38</v>
      </c>
      <c r="AV23" s="89">
        <v>3379.78</v>
      </c>
      <c r="AW23" s="87">
        <v>3412.54</v>
      </c>
      <c r="AX23" s="87">
        <v>3465.05</v>
      </c>
      <c r="AY23" s="91">
        <v>3648.46</v>
      </c>
      <c r="AZ23" s="84">
        <v>3529.4</v>
      </c>
      <c r="BA23" s="85">
        <v>3513.13</v>
      </c>
      <c r="BB23" s="85">
        <v>3535.6</v>
      </c>
      <c r="BC23" s="91">
        <v>3798.57</v>
      </c>
      <c r="BD23" s="84">
        <v>3603.23</v>
      </c>
      <c r="BE23" s="85">
        <v>3609.44</v>
      </c>
      <c r="BF23" s="85">
        <v>3652.21</v>
      </c>
      <c r="BG23" s="85">
        <v>3848.19</v>
      </c>
      <c r="BH23" s="84">
        <v>3697.97</v>
      </c>
      <c r="BI23" s="85">
        <v>3723.87</v>
      </c>
      <c r="BJ23" s="85">
        <v>3773.99</v>
      </c>
      <c r="BK23" s="91">
        <v>4021.32</v>
      </c>
      <c r="BL23" s="92">
        <v>3842.46</v>
      </c>
      <c r="BM23" s="85">
        <v>3841.28</v>
      </c>
      <c r="BN23" s="85">
        <v>3896.36</v>
      </c>
      <c r="BO23" s="91">
        <v>4159.87</v>
      </c>
      <c r="BP23" s="92">
        <v>3969.41</v>
      </c>
      <c r="BQ23" s="85">
        <v>3993.19</v>
      </c>
      <c r="BR23" s="85">
        <v>4029.34</v>
      </c>
      <c r="BS23" s="91">
        <v>4310.75</v>
      </c>
      <c r="BT23" s="92">
        <v>4078.86</v>
      </c>
      <c r="BU23" s="85">
        <v>4153.8100000000004</v>
      </c>
      <c r="BV23" s="118">
        <v>4172.07</v>
      </c>
      <c r="BW23" s="85">
        <v>4485.3900000000003</v>
      </c>
      <c r="BX23" s="145">
        <v>4289.9399999999996</v>
      </c>
      <c r="BY23" s="145">
        <v>4319.28</v>
      </c>
      <c r="BZ23" s="145">
        <v>4422.45</v>
      </c>
      <c r="CA23" s="149">
        <v>4748.87</v>
      </c>
      <c r="CB23" s="149">
        <v>4539</v>
      </c>
      <c r="CC23" s="149">
        <v>4607.63</v>
      </c>
      <c r="CD23" s="149">
        <v>4696.8100000000004</v>
      </c>
      <c r="CE23" s="149">
        <v>4987.33</v>
      </c>
      <c r="CF23" s="149">
        <v>4859.51</v>
      </c>
      <c r="CG23" s="149">
        <v>4788.3999999999996</v>
      </c>
      <c r="CH23" s="149">
        <v>4959.84</v>
      </c>
      <c r="CI23" s="149">
        <v>5257.28</v>
      </c>
      <c r="CJ23" s="164">
        <v>5157.79</v>
      </c>
      <c r="CK23" s="156">
        <v>5126.3500000000004</v>
      </c>
      <c r="CL23" s="170">
        <v>5325.1</v>
      </c>
      <c r="CM23" s="162"/>
    </row>
    <row r="24" spans="2:91" ht="27.75">
      <c r="B24" s="133" t="s">
        <v>22</v>
      </c>
      <c r="C24" s="127" t="s">
        <v>10</v>
      </c>
      <c r="D24" s="27" t="s">
        <v>15</v>
      </c>
      <c r="E24" s="28" t="s">
        <v>15</v>
      </c>
      <c r="F24" s="28" t="s">
        <v>15</v>
      </c>
      <c r="G24" s="28" t="s">
        <v>15</v>
      </c>
      <c r="H24" s="28" t="s">
        <v>15</v>
      </c>
      <c r="I24" s="28" t="s">
        <v>15</v>
      </c>
      <c r="J24" s="28" t="s">
        <v>15</v>
      </c>
      <c r="K24" s="28" t="s">
        <v>15</v>
      </c>
      <c r="L24" s="28" t="s">
        <v>15</v>
      </c>
      <c r="M24" s="28" t="s">
        <v>15</v>
      </c>
      <c r="N24" s="28" t="s">
        <v>15</v>
      </c>
      <c r="O24" s="28" t="s">
        <v>15</v>
      </c>
      <c r="P24" s="28" t="s">
        <v>15</v>
      </c>
      <c r="Q24" s="28" t="s">
        <v>15</v>
      </c>
      <c r="R24" s="28" t="s">
        <v>15</v>
      </c>
      <c r="S24" s="28" t="s">
        <v>15</v>
      </c>
      <c r="T24" s="28" t="s">
        <v>15</v>
      </c>
      <c r="U24" s="28" t="s">
        <v>15</v>
      </c>
      <c r="V24" s="28" t="s">
        <v>15</v>
      </c>
      <c r="W24" s="28" t="s">
        <v>15</v>
      </c>
      <c r="X24" s="28" t="s">
        <v>15</v>
      </c>
      <c r="Y24" s="28" t="s">
        <v>15</v>
      </c>
      <c r="Z24" s="28" t="s">
        <v>15</v>
      </c>
      <c r="AA24" s="28" t="s">
        <v>15</v>
      </c>
      <c r="AB24" s="28" t="s">
        <v>15</v>
      </c>
      <c r="AC24" s="28" t="s">
        <v>15</v>
      </c>
      <c r="AD24" s="28" t="s">
        <v>15</v>
      </c>
      <c r="AE24" s="28" t="s">
        <v>15</v>
      </c>
      <c r="AF24" s="93">
        <v>2649.97</v>
      </c>
      <c r="AG24" s="93">
        <v>2875.72</v>
      </c>
      <c r="AH24" s="93">
        <v>3106.4</v>
      </c>
      <c r="AI24" s="93">
        <v>3256.29</v>
      </c>
      <c r="AJ24" s="93">
        <v>3095.93</v>
      </c>
      <c r="AK24" s="93">
        <v>3348.28</v>
      </c>
      <c r="AL24" s="84">
        <v>3462.01</v>
      </c>
      <c r="AM24" s="92">
        <v>3546.36</v>
      </c>
      <c r="AN24" s="84">
        <v>3313.15</v>
      </c>
      <c r="AO24" s="85">
        <v>3421.19</v>
      </c>
      <c r="AP24" s="85">
        <v>3518.77</v>
      </c>
      <c r="AQ24" s="85">
        <v>3591.38</v>
      </c>
      <c r="AR24" s="84">
        <v>3338.74</v>
      </c>
      <c r="AS24" s="87">
        <v>3543.42</v>
      </c>
      <c r="AT24" s="85">
        <v>3537.26</v>
      </c>
      <c r="AU24" s="85">
        <v>3721.13</v>
      </c>
      <c r="AV24" s="89">
        <v>3482.35</v>
      </c>
      <c r="AW24" s="87">
        <v>3683.27</v>
      </c>
      <c r="AX24" s="87">
        <v>3774.56</v>
      </c>
      <c r="AY24" s="91">
        <v>3858.28</v>
      </c>
      <c r="AZ24" s="84">
        <v>3621.67</v>
      </c>
      <c r="BA24" s="85">
        <v>3647.42</v>
      </c>
      <c r="BB24" s="85">
        <v>3709.1</v>
      </c>
      <c r="BC24" s="91">
        <v>3829.46</v>
      </c>
      <c r="BD24" s="84">
        <v>3555.66</v>
      </c>
      <c r="BE24" s="85">
        <v>3693.36</v>
      </c>
      <c r="BF24" s="85">
        <v>3765.91</v>
      </c>
      <c r="BG24" s="85">
        <v>3895.37</v>
      </c>
      <c r="BH24" s="84">
        <v>3706.03</v>
      </c>
      <c r="BI24" s="85">
        <v>3883.56</v>
      </c>
      <c r="BJ24" s="85">
        <v>3872.05</v>
      </c>
      <c r="BK24" s="91">
        <v>4084.49</v>
      </c>
      <c r="BL24" s="92">
        <v>3899.01</v>
      </c>
      <c r="BM24" s="85">
        <v>4042.29</v>
      </c>
      <c r="BN24" s="85">
        <v>4111.21</v>
      </c>
      <c r="BO24" s="91">
        <v>4249.78</v>
      </c>
      <c r="BP24" s="92">
        <v>4042.8</v>
      </c>
      <c r="BQ24" s="85">
        <v>4296.46</v>
      </c>
      <c r="BR24" s="85">
        <v>4257.7700000000004</v>
      </c>
      <c r="BS24" s="91">
        <v>4408.3500000000004</v>
      </c>
      <c r="BT24" s="92">
        <v>4267.0200000000004</v>
      </c>
      <c r="BU24" s="85">
        <v>4466.95</v>
      </c>
      <c r="BV24" s="118">
        <v>4572.97</v>
      </c>
      <c r="BW24" s="85">
        <v>4816.68</v>
      </c>
      <c r="BX24" s="145">
        <v>4592.8900000000003</v>
      </c>
      <c r="BY24" s="145">
        <v>4869.6000000000004</v>
      </c>
      <c r="BZ24" s="145">
        <v>5010.96</v>
      </c>
      <c r="CA24" s="149">
        <v>5119.68</v>
      </c>
      <c r="CB24" s="149">
        <v>4873.42</v>
      </c>
      <c r="CC24" s="149">
        <v>5283.01</v>
      </c>
      <c r="CD24" s="149">
        <v>5234.7299999999996</v>
      </c>
      <c r="CE24" s="149">
        <v>5462.46</v>
      </c>
      <c r="CF24" s="149">
        <v>5180.03</v>
      </c>
      <c r="CG24" s="149">
        <v>5325.21</v>
      </c>
      <c r="CH24" s="149">
        <v>5490.26</v>
      </c>
      <c r="CI24" s="149">
        <v>5610.77</v>
      </c>
      <c r="CJ24" s="164">
        <v>5374.33</v>
      </c>
      <c r="CK24" s="156">
        <v>5770.24</v>
      </c>
      <c r="CL24" s="168">
        <v>5983.87</v>
      </c>
      <c r="CM24" s="162"/>
    </row>
    <row r="25" spans="2:91" ht="27.75">
      <c r="B25" s="134" t="s">
        <v>23</v>
      </c>
      <c r="C25" s="127" t="s">
        <v>10</v>
      </c>
      <c r="D25" s="27" t="s">
        <v>15</v>
      </c>
      <c r="E25" s="28" t="s">
        <v>15</v>
      </c>
      <c r="F25" s="28" t="s">
        <v>15</v>
      </c>
      <c r="G25" s="28" t="s">
        <v>15</v>
      </c>
      <c r="H25" s="28" t="s">
        <v>15</v>
      </c>
      <c r="I25" s="28" t="s">
        <v>15</v>
      </c>
      <c r="J25" s="28" t="s">
        <v>15</v>
      </c>
      <c r="K25" s="28" t="s">
        <v>15</v>
      </c>
      <c r="L25" s="28" t="s">
        <v>15</v>
      </c>
      <c r="M25" s="28" t="s">
        <v>15</v>
      </c>
      <c r="N25" s="28" t="s">
        <v>15</v>
      </c>
      <c r="O25" s="28" t="s">
        <v>15</v>
      </c>
      <c r="P25" s="28" t="s">
        <v>15</v>
      </c>
      <c r="Q25" s="28" t="s">
        <v>15</v>
      </c>
      <c r="R25" s="28" t="s">
        <v>15</v>
      </c>
      <c r="S25" s="28" t="s">
        <v>15</v>
      </c>
      <c r="T25" s="28" t="s">
        <v>15</v>
      </c>
      <c r="U25" s="28" t="s">
        <v>15</v>
      </c>
      <c r="V25" s="28" t="s">
        <v>15</v>
      </c>
      <c r="W25" s="28" t="s">
        <v>15</v>
      </c>
      <c r="X25" s="28" t="s">
        <v>15</v>
      </c>
      <c r="Y25" s="28" t="s">
        <v>15</v>
      </c>
      <c r="Z25" s="28" t="s">
        <v>15</v>
      </c>
      <c r="AA25" s="28" t="s">
        <v>15</v>
      </c>
      <c r="AB25" s="28" t="s">
        <v>15</v>
      </c>
      <c r="AC25" s="28" t="s">
        <v>15</v>
      </c>
      <c r="AD25" s="28" t="s">
        <v>15</v>
      </c>
      <c r="AE25" s="28" t="s">
        <v>15</v>
      </c>
      <c r="AF25" s="93">
        <v>2581.04</v>
      </c>
      <c r="AG25" s="93">
        <v>2646.61</v>
      </c>
      <c r="AH25" s="93">
        <v>2706.23</v>
      </c>
      <c r="AI25" s="93">
        <v>2823.92</v>
      </c>
      <c r="AJ25" s="93">
        <v>2874.4</v>
      </c>
      <c r="AK25" s="93">
        <v>2955.63</v>
      </c>
      <c r="AL25" s="84">
        <v>2940.6</v>
      </c>
      <c r="AM25" s="92">
        <v>3018.34</v>
      </c>
      <c r="AN25" s="84">
        <v>3035.15</v>
      </c>
      <c r="AO25" s="85">
        <v>3058.25</v>
      </c>
      <c r="AP25" s="85">
        <v>3021.08</v>
      </c>
      <c r="AQ25" s="85">
        <v>3087.61</v>
      </c>
      <c r="AR25" s="84">
        <v>3078.68</v>
      </c>
      <c r="AS25" s="87">
        <v>3170.84</v>
      </c>
      <c r="AT25" s="85">
        <v>3028.48</v>
      </c>
      <c r="AU25" s="85">
        <v>3168.17</v>
      </c>
      <c r="AV25" s="89">
        <v>3212.22</v>
      </c>
      <c r="AW25" s="87">
        <v>3252.8</v>
      </c>
      <c r="AX25" s="85">
        <v>3233.43</v>
      </c>
      <c r="AY25" s="91">
        <v>3369.86</v>
      </c>
      <c r="AZ25" s="84">
        <v>3356.7</v>
      </c>
      <c r="BA25" s="85">
        <v>3336.92</v>
      </c>
      <c r="BB25" s="85">
        <v>3321.95</v>
      </c>
      <c r="BC25" s="91">
        <v>3365.38</v>
      </c>
      <c r="BD25" s="84">
        <v>3432.22</v>
      </c>
      <c r="BE25" s="85">
        <v>3420.62</v>
      </c>
      <c r="BF25" s="85">
        <v>3407.81</v>
      </c>
      <c r="BG25" s="85">
        <v>3455.76</v>
      </c>
      <c r="BH25" s="84">
        <v>3543.91</v>
      </c>
      <c r="BI25" s="85">
        <v>3577.06</v>
      </c>
      <c r="BJ25" s="85">
        <v>3532.47</v>
      </c>
      <c r="BK25" s="91">
        <v>3598.89</v>
      </c>
      <c r="BL25" s="92">
        <v>3723.97</v>
      </c>
      <c r="BM25" s="85">
        <v>3703.1</v>
      </c>
      <c r="BN25" s="85">
        <v>3677.22</v>
      </c>
      <c r="BO25" s="91">
        <v>3702.12</v>
      </c>
      <c r="BP25" s="92">
        <v>3887.89</v>
      </c>
      <c r="BQ25" s="85">
        <v>3934.17</v>
      </c>
      <c r="BR25" s="85">
        <v>3902</v>
      </c>
      <c r="BS25" s="91">
        <v>3871.17</v>
      </c>
      <c r="BT25" s="92">
        <v>4148.0200000000004</v>
      </c>
      <c r="BU25" s="85">
        <v>4201.8100000000004</v>
      </c>
      <c r="BV25" s="118">
        <v>4181.3500000000004</v>
      </c>
      <c r="BW25" s="85">
        <v>4291.26</v>
      </c>
      <c r="BX25" s="145">
        <v>4443.41</v>
      </c>
      <c r="BY25" s="145">
        <v>4516.2299999999996</v>
      </c>
      <c r="BZ25" s="145">
        <v>4485.01</v>
      </c>
      <c r="CA25" s="149">
        <v>4603.43</v>
      </c>
      <c r="CB25" s="149">
        <v>4751.3999999999996</v>
      </c>
      <c r="CC25" s="149">
        <v>4844.88</v>
      </c>
      <c r="CD25" s="149">
        <v>4797.29</v>
      </c>
      <c r="CE25" s="149">
        <v>4908.84</v>
      </c>
      <c r="CF25" s="149">
        <v>5118.87</v>
      </c>
      <c r="CG25" s="149">
        <v>5017.82</v>
      </c>
      <c r="CH25" s="149">
        <v>4976.7700000000004</v>
      </c>
      <c r="CI25" s="149">
        <v>5121.16</v>
      </c>
      <c r="CJ25" s="164">
        <v>5409.71</v>
      </c>
      <c r="CK25" s="156">
        <v>5436.56</v>
      </c>
      <c r="CL25" s="168">
        <v>5513.59</v>
      </c>
      <c r="CM25" s="162"/>
    </row>
    <row r="26" spans="2:91" ht="27.75">
      <c r="B26" s="134" t="s">
        <v>24</v>
      </c>
      <c r="C26" s="127" t="s">
        <v>10</v>
      </c>
      <c r="D26" s="27" t="s">
        <v>15</v>
      </c>
      <c r="E26" s="28" t="s">
        <v>15</v>
      </c>
      <c r="F26" s="28" t="s">
        <v>15</v>
      </c>
      <c r="G26" s="28" t="s">
        <v>15</v>
      </c>
      <c r="H26" s="28" t="s">
        <v>15</v>
      </c>
      <c r="I26" s="28" t="s">
        <v>15</v>
      </c>
      <c r="J26" s="28" t="s">
        <v>15</v>
      </c>
      <c r="K26" s="28" t="s">
        <v>15</v>
      </c>
      <c r="L26" s="28" t="s">
        <v>15</v>
      </c>
      <c r="M26" s="28" t="s">
        <v>15</v>
      </c>
      <c r="N26" s="28" t="s">
        <v>15</v>
      </c>
      <c r="O26" s="28" t="s">
        <v>15</v>
      </c>
      <c r="P26" s="28" t="s">
        <v>15</v>
      </c>
      <c r="Q26" s="28" t="s">
        <v>15</v>
      </c>
      <c r="R26" s="28" t="s">
        <v>15</v>
      </c>
      <c r="S26" s="28" t="s">
        <v>15</v>
      </c>
      <c r="T26" s="28" t="s">
        <v>15</v>
      </c>
      <c r="U26" s="28" t="s">
        <v>15</v>
      </c>
      <c r="V26" s="28" t="s">
        <v>15</v>
      </c>
      <c r="W26" s="28" t="s">
        <v>15</v>
      </c>
      <c r="X26" s="28" t="s">
        <v>15</v>
      </c>
      <c r="Y26" s="28" t="s">
        <v>15</v>
      </c>
      <c r="Z26" s="28" t="s">
        <v>15</v>
      </c>
      <c r="AA26" s="28" t="s">
        <v>15</v>
      </c>
      <c r="AB26" s="28" t="s">
        <v>15</v>
      </c>
      <c r="AC26" s="28" t="s">
        <v>15</v>
      </c>
      <c r="AD26" s="28" t="s">
        <v>15</v>
      </c>
      <c r="AE26" s="28" t="s">
        <v>15</v>
      </c>
      <c r="AF26" s="93">
        <v>2619.3200000000002</v>
      </c>
      <c r="AG26" s="93">
        <v>2727.61</v>
      </c>
      <c r="AH26" s="93">
        <v>2808.9</v>
      </c>
      <c r="AI26" s="93">
        <v>3208.76</v>
      </c>
      <c r="AJ26" s="93">
        <v>2926.34</v>
      </c>
      <c r="AK26" s="93">
        <v>3083.51</v>
      </c>
      <c r="AL26" s="84">
        <v>3178.26</v>
      </c>
      <c r="AM26" s="92">
        <v>3496.82</v>
      </c>
      <c r="AN26" s="84">
        <v>3097.86</v>
      </c>
      <c r="AO26" s="85">
        <v>3143.31</v>
      </c>
      <c r="AP26" s="85">
        <v>3347.33</v>
      </c>
      <c r="AQ26" s="85">
        <v>3445.77</v>
      </c>
      <c r="AR26" s="84">
        <v>3154.8</v>
      </c>
      <c r="AS26" s="85">
        <v>3207.42</v>
      </c>
      <c r="AT26" s="87">
        <v>3309.16</v>
      </c>
      <c r="AU26" s="88">
        <v>3609.11</v>
      </c>
      <c r="AV26" s="89">
        <v>3343.12</v>
      </c>
      <c r="AW26" s="85">
        <v>3338.3</v>
      </c>
      <c r="AX26" s="87">
        <v>3369.97</v>
      </c>
      <c r="AY26" s="90">
        <v>3683.24</v>
      </c>
      <c r="AZ26" s="84">
        <v>3356.4</v>
      </c>
      <c r="BA26" s="85">
        <v>3421.79</v>
      </c>
      <c r="BB26" s="85">
        <v>3543.33</v>
      </c>
      <c r="BC26" s="90">
        <v>3815.98</v>
      </c>
      <c r="BD26" s="84">
        <v>3439.23</v>
      </c>
      <c r="BE26" s="85">
        <v>3546.87</v>
      </c>
      <c r="BF26" s="85">
        <v>3588.81</v>
      </c>
      <c r="BG26" s="85">
        <v>3912.99</v>
      </c>
      <c r="BH26" s="84">
        <v>3666.32</v>
      </c>
      <c r="BI26" s="85">
        <v>3650.04</v>
      </c>
      <c r="BJ26" s="85">
        <v>3710.13</v>
      </c>
      <c r="BK26" s="91">
        <v>4006.29</v>
      </c>
      <c r="BL26" s="92">
        <v>3656.08</v>
      </c>
      <c r="BM26" s="85">
        <v>3757.29</v>
      </c>
      <c r="BN26" s="85">
        <v>3831.3</v>
      </c>
      <c r="BO26" s="91">
        <v>4089.43</v>
      </c>
      <c r="BP26" s="92">
        <v>3767.09</v>
      </c>
      <c r="BQ26" s="85">
        <v>3884.53</v>
      </c>
      <c r="BR26" s="85">
        <v>3966.77</v>
      </c>
      <c r="BS26" s="91">
        <v>4225.82</v>
      </c>
      <c r="BT26" s="92">
        <v>3906.89</v>
      </c>
      <c r="BU26" s="85">
        <v>4054.33</v>
      </c>
      <c r="BV26" s="85">
        <v>4168.34</v>
      </c>
      <c r="BW26" s="85">
        <v>4523.08</v>
      </c>
      <c r="BX26" s="145">
        <v>4167.51</v>
      </c>
      <c r="BY26" s="145">
        <v>4285.75</v>
      </c>
      <c r="BZ26" s="145">
        <v>4382.28</v>
      </c>
      <c r="CA26" s="149">
        <v>4723.04</v>
      </c>
      <c r="CB26" s="149">
        <v>4400.32</v>
      </c>
      <c r="CC26" s="149">
        <v>4533.99</v>
      </c>
      <c r="CD26" s="149">
        <v>4637.46</v>
      </c>
      <c r="CE26" s="149">
        <v>4984.21</v>
      </c>
      <c r="CF26" s="149">
        <v>4668</v>
      </c>
      <c r="CG26" s="149">
        <v>4560.3500000000004</v>
      </c>
      <c r="CH26" s="149">
        <v>4742.8500000000004</v>
      </c>
      <c r="CI26" s="149">
        <v>5044.2</v>
      </c>
      <c r="CJ26" s="164">
        <v>4811.71</v>
      </c>
      <c r="CK26" s="156">
        <v>4930.9799999999996</v>
      </c>
      <c r="CL26" s="168">
        <v>5131.22</v>
      </c>
      <c r="CM26" s="162"/>
    </row>
    <row r="27" spans="2:91" ht="27.75">
      <c r="B27" s="134" t="s">
        <v>25</v>
      </c>
      <c r="C27" s="127" t="s">
        <v>10</v>
      </c>
      <c r="D27" s="27" t="s">
        <v>15</v>
      </c>
      <c r="E27" s="28" t="s">
        <v>15</v>
      </c>
      <c r="F27" s="28" t="s">
        <v>15</v>
      </c>
      <c r="G27" s="28" t="s">
        <v>15</v>
      </c>
      <c r="H27" s="28" t="s">
        <v>15</v>
      </c>
      <c r="I27" s="28" t="s">
        <v>15</v>
      </c>
      <c r="J27" s="28" t="s">
        <v>15</v>
      </c>
      <c r="K27" s="28" t="s">
        <v>15</v>
      </c>
      <c r="L27" s="28" t="s">
        <v>15</v>
      </c>
      <c r="M27" s="28" t="s">
        <v>15</v>
      </c>
      <c r="N27" s="28" t="s">
        <v>15</v>
      </c>
      <c r="O27" s="28" t="s">
        <v>15</v>
      </c>
      <c r="P27" s="28" t="s">
        <v>15</v>
      </c>
      <c r="Q27" s="28" t="s">
        <v>15</v>
      </c>
      <c r="R27" s="28" t="s">
        <v>15</v>
      </c>
      <c r="S27" s="28" t="s">
        <v>15</v>
      </c>
      <c r="T27" s="28" t="s">
        <v>15</v>
      </c>
      <c r="U27" s="28" t="s">
        <v>15</v>
      </c>
      <c r="V27" s="28" t="s">
        <v>15</v>
      </c>
      <c r="W27" s="28" t="s">
        <v>15</v>
      </c>
      <c r="X27" s="28" t="s">
        <v>15</v>
      </c>
      <c r="Y27" s="28" t="s">
        <v>15</v>
      </c>
      <c r="Z27" s="28" t="s">
        <v>15</v>
      </c>
      <c r="AA27" s="28" t="s">
        <v>15</v>
      </c>
      <c r="AB27" s="28" t="s">
        <v>15</v>
      </c>
      <c r="AC27" s="28" t="s">
        <v>15</v>
      </c>
      <c r="AD27" s="28" t="s">
        <v>15</v>
      </c>
      <c r="AE27" s="28" t="s">
        <v>15</v>
      </c>
      <c r="AF27" s="93">
        <v>5250.98</v>
      </c>
      <c r="AG27" s="93">
        <v>5138.05</v>
      </c>
      <c r="AH27" s="93">
        <v>5141.93</v>
      </c>
      <c r="AI27" s="93">
        <v>5374.73</v>
      </c>
      <c r="AJ27" s="93">
        <v>5711.34</v>
      </c>
      <c r="AK27" s="93">
        <v>5698.12</v>
      </c>
      <c r="AL27" s="84">
        <v>5758.46</v>
      </c>
      <c r="AM27" s="92">
        <v>5606.49</v>
      </c>
      <c r="AN27" s="84">
        <v>6153.86</v>
      </c>
      <c r="AO27" s="85">
        <v>5853.55</v>
      </c>
      <c r="AP27" s="85">
        <v>5839.58</v>
      </c>
      <c r="AQ27" s="85">
        <v>5882.61</v>
      </c>
      <c r="AR27" s="84">
        <v>6352.91</v>
      </c>
      <c r="AS27" s="87">
        <v>6040.2</v>
      </c>
      <c r="AT27" s="85">
        <v>6054.32</v>
      </c>
      <c r="AU27" s="88">
        <v>6273.27</v>
      </c>
      <c r="AV27" s="89">
        <v>6648.14</v>
      </c>
      <c r="AW27" s="87">
        <v>6424.38</v>
      </c>
      <c r="AX27" s="85">
        <v>6361.01</v>
      </c>
      <c r="AY27" s="90">
        <v>6325.07</v>
      </c>
      <c r="AZ27" s="84">
        <v>6550.16</v>
      </c>
      <c r="BA27" s="85">
        <v>6474.85</v>
      </c>
      <c r="BB27" s="85">
        <v>6492.58</v>
      </c>
      <c r="BC27" s="90">
        <v>6379.39</v>
      </c>
      <c r="BD27" s="84">
        <v>6685.11</v>
      </c>
      <c r="BE27" s="85">
        <v>6707.32</v>
      </c>
      <c r="BF27" s="85">
        <v>6653.69</v>
      </c>
      <c r="BG27" s="85">
        <v>6694.95</v>
      </c>
      <c r="BH27" s="84">
        <v>6986.53</v>
      </c>
      <c r="BI27" s="85">
        <v>6835.14</v>
      </c>
      <c r="BJ27" s="85">
        <v>6834.51</v>
      </c>
      <c r="BK27" s="91">
        <v>6889.25</v>
      </c>
      <c r="BL27" s="92">
        <v>7299.99</v>
      </c>
      <c r="BM27" s="85">
        <v>7280.78</v>
      </c>
      <c r="BN27" s="85">
        <v>7142.81</v>
      </c>
      <c r="BO27" s="91">
        <v>7171.27</v>
      </c>
      <c r="BP27" s="92">
        <v>7599.24</v>
      </c>
      <c r="BQ27" s="85">
        <v>7593.05</v>
      </c>
      <c r="BR27" s="85">
        <v>7316.85</v>
      </c>
      <c r="BS27" s="91">
        <v>7762.5</v>
      </c>
      <c r="BT27" s="92">
        <v>7879.1</v>
      </c>
      <c r="BU27" s="85">
        <v>7864.12</v>
      </c>
      <c r="BV27" s="85">
        <v>7825.5</v>
      </c>
      <c r="BW27" s="85">
        <v>7948.16</v>
      </c>
      <c r="BX27" s="145">
        <v>8500.58</v>
      </c>
      <c r="BY27" s="145">
        <v>8458.7000000000007</v>
      </c>
      <c r="BZ27" s="145">
        <v>8276.44</v>
      </c>
      <c r="CA27" s="149">
        <v>8477.0400000000009</v>
      </c>
      <c r="CB27" s="149">
        <v>8896.65</v>
      </c>
      <c r="CC27" s="149">
        <v>8964.9</v>
      </c>
      <c r="CD27" s="149">
        <v>8492.08</v>
      </c>
      <c r="CE27" s="149">
        <v>8811.58</v>
      </c>
      <c r="CF27" s="149">
        <v>9457.34</v>
      </c>
      <c r="CG27" s="149">
        <v>9073.65</v>
      </c>
      <c r="CH27" s="149">
        <v>9191.2800000000007</v>
      </c>
      <c r="CI27" s="149">
        <v>9279.2900000000009</v>
      </c>
      <c r="CJ27" s="164">
        <v>10007.26</v>
      </c>
      <c r="CK27" s="156">
        <v>9968.64</v>
      </c>
      <c r="CL27" s="168">
        <v>9951.7900000000009</v>
      </c>
      <c r="CM27" s="162"/>
    </row>
    <row r="28" spans="2:91" ht="27.75">
      <c r="B28" s="134" t="s">
        <v>26</v>
      </c>
      <c r="C28" s="127" t="s">
        <v>10</v>
      </c>
      <c r="D28" s="27" t="s">
        <v>15</v>
      </c>
      <c r="E28" s="28" t="s">
        <v>15</v>
      </c>
      <c r="F28" s="28" t="s">
        <v>15</v>
      </c>
      <c r="G28" s="28" t="s">
        <v>15</v>
      </c>
      <c r="H28" s="28" t="s">
        <v>15</v>
      </c>
      <c r="I28" s="28" t="s">
        <v>15</v>
      </c>
      <c r="J28" s="28" t="s">
        <v>15</v>
      </c>
      <c r="K28" s="28" t="s">
        <v>15</v>
      </c>
      <c r="L28" s="28" t="s">
        <v>15</v>
      </c>
      <c r="M28" s="28" t="s">
        <v>15</v>
      </c>
      <c r="N28" s="28" t="s">
        <v>15</v>
      </c>
      <c r="O28" s="28" t="s">
        <v>15</v>
      </c>
      <c r="P28" s="28" t="s">
        <v>15</v>
      </c>
      <c r="Q28" s="28" t="s">
        <v>15</v>
      </c>
      <c r="R28" s="28" t="s">
        <v>15</v>
      </c>
      <c r="S28" s="28" t="s">
        <v>15</v>
      </c>
      <c r="T28" s="28" t="s">
        <v>15</v>
      </c>
      <c r="U28" s="28" t="s">
        <v>15</v>
      </c>
      <c r="V28" s="28" t="s">
        <v>15</v>
      </c>
      <c r="W28" s="28" t="s">
        <v>15</v>
      </c>
      <c r="X28" s="28" t="s">
        <v>15</v>
      </c>
      <c r="Y28" s="28" t="s">
        <v>15</v>
      </c>
      <c r="Z28" s="28" t="s">
        <v>15</v>
      </c>
      <c r="AA28" s="28" t="s">
        <v>15</v>
      </c>
      <c r="AB28" s="28" t="s">
        <v>15</v>
      </c>
      <c r="AC28" s="28" t="s">
        <v>15</v>
      </c>
      <c r="AD28" s="28" t="s">
        <v>15</v>
      </c>
      <c r="AE28" s="28" t="s">
        <v>15</v>
      </c>
      <c r="AF28" s="93">
        <v>5246.59</v>
      </c>
      <c r="AG28" s="93">
        <v>5230.34</v>
      </c>
      <c r="AH28" s="93">
        <v>4844.45</v>
      </c>
      <c r="AI28" s="93">
        <v>5175.67</v>
      </c>
      <c r="AJ28" s="93">
        <v>5867.97</v>
      </c>
      <c r="AK28" s="93">
        <v>5281.48</v>
      </c>
      <c r="AL28" s="84">
        <v>5154.9799999999996</v>
      </c>
      <c r="AM28" s="92">
        <v>5128.8100000000004</v>
      </c>
      <c r="AN28" s="84">
        <v>5885.23</v>
      </c>
      <c r="AO28" s="85">
        <v>5486.68</v>
      </c>
      <c r="AP28" s="85">
        <v>5197.96</v>
      </c>
      <c r="AQ28" s="85">
        <v>5562.53</v>
      </c>
      <c r="AR28" s="84">
        <v>5736.51</v>
      </c>
      <c r="AS28" s="87">
        <v>5760.03</v>
      </c>
      <c r="AT28" s="87">
        <v>5624.49</v>
      </c>
      <c r="AU28" s="88">
        <v>5570.99</v>
      </c>
      <c r="AV28" s="89">
        <v>6229.06</v>
      </c>
      <c r="AW28" s="87">
        <v>6278.34</v>
      </c>
      <c r="AX28" s="87">
        <v>5877.77</v>
      </c>
      <c r="AY28" s="90">
        <v>5823.23</v>
      </c>
      <c r="AZ28" s="84">
        <v>6386.96</v>
      </c>
      <c r="BA28" s="85">
        <v>6688.26</v>
      </c>
      <c r="BB28" s="85">
        <v>5875.47</v>
      </c>
      <c r="BC28" s="90">
        <v>6043.73</v>
      </c>
      <c r="BD28" s="84">
        <v>6338.95</v>
      </c>
      <c r="BE28" s="85">
        <v>6702.46</v>
      </c>
      <c r="BF28" s="85">
        <v>6066.13</v>
      </c>
      <c r="BG28" s="85">
        <v>6602.17</v>
      </c>
      <c r="BH28" s="84">
        <v>6747.09</v>
      </c>
      <c r="BI28" s="85">
        <v>6737.54</v>
      </c>
      <c r="BJ28" s="85">
        <v>6360.07</v>
      </c>
      <c r="BK28" s="91">
        <v>6231.48</v>
      </c>
      <c r="BL28" s="92">
        <v>7240.12</v>
      </c>
      <c r="BM28" s="85">
        <v>6906</v>
      </c>
      <c r="BN28" s="85">
        <v>6583.08</v>
      </c>
      <c r="BO28" s="91">
        <v>6820.58</v>
      </c>
      <c r="BP28" s="92">
        <v>7329.59</v>
      </c>
      <c r="BQ28" s="85">
        <v>7017.37</v>
      </c>
      <c r="BR28" s="85">
        <v>6936.01</v>
      </c>
      <c r="BS28" s="91">
        <v>6965.46</v>
      </c>
      <c r="BT28" s="92">
        <v>7680.19</v>
      </c>
      <c r="BU28" s="85">
        <v>7617.38</v>
      </c>
      <c r="BV28" s="118">
        <v>7158.32</v>
      </c>
      <c r="BW28" s="85">
        <v>7354.18</v>
      </c>
      <c r="BX28" s="145">
        <v>8190.82</v>
      </c>
      <c r="BY28" s="145">
        <v>8006.79</v>
      </c>
      <c r="BZ28" s="145">
        <v>7562.98</v>
      </c>
      <c r="CA28" s="149">
        <v>7767.1</v>
      </c>
      <c r="CB28" s="149">
        <v>8539.5499999999993</v>
      </c>
      <c r="CC28" s="149">
        <v>8150.59</v>
      </c>
      <c r="CD28" s="149">
        <v>8095.63</v>
      </c>
      <c r="CE28" s="149">
        <v>8159.23</v>
      </c>
      <c r="CF28" s="149">
        <v>9461.4599999999991</v>
      </c>
      <c r="CG28" s="149">
        <v>8757.83</v>
      </c>
      <c r="CH28" s="149">
        <v>8060.39</v>
      </c>
      <c r="CI28" s="149">
        <v>8308.2199999999993</v>
      </c>
      <c r="CJ28" s="145">
        <v>9555.7099999999991</v>
      </c>
      <c r="CK28" s="167">
        <v>8986.86</v>
      </c>
      <c r="CL28" s="170">
        <v>8959.93</v>
      </c>
      <c r="CM28" s="162"/>
    </row>
    <row r="29" spans="2:91" ht="27.75">
      <c r="B29" s="134" t="s">
        <v>27</v>
      </c>
      <c r="C29" s="127" t="s">
        <v>10</v>
      </c>
      <c r="D29" s="27" t="s">
        <v>15</v>
      </c>
      <c r="E29" s="28" t="s">
        <v>15</v>
      </c>
      <c r="F29" s="28" t="s">
        <v>15</v>
      </c>
      <c r="G29" s="28" t="s">
        <v>15</v>
      </c>
      <c r="H29" s="28" t="s">
        <v>15</v>
      </c>
      <c r="I29" s="28" t="s">
        <v>15</v>
      </c>
      <c r="J29" s="28" t="s">
        <v>15</v>
      </c>
      <c r="K29" s="28" t="s">
        <v>15</v>
      </c>
      <c r="L29" s="28" t="s">
        <v>15</v>
      </c>
      <c r="M29" s="28" t="s">
        <v>15</v>
      </c>
      <c r="N29" s="28" t="s">
        <v>15</v>
      </c>
      <c r="O29" s="28" t="s">
        <v>15</v>
      </c>
      <c r="P29" s="28" t="s">
        <v>15</v>
      </c>
      <c r="Q29" s="28" t="s">
        <v>15</v>
      </c>
      <c r="R29" s="28" t="s">
        <v>15</v>
      </c>
      <c r="S29" s="28" t="s">
        <v>15</v>
      </c>
      <c r="T29" s="28" t="s">
        <v>15</v>
      </c>
      <c r="U29" s="28" t="s">
        <v>15</v>
      </c>
      <c r="V29" s="28" t="s">
        <v>15</v>
      </c>
      <c r="W29" s="28" t="s">
        <v>15</v>
      </c>
      <c r="X29" s="28" t="s">
        <v>15</v>
      </c>
      <c r="Y29" s="28" t="s">
        <v>15</v>
      </c>
      <c r="Z29" s="28" t="s">
        <v>15</v>
      </c>
      <c r="AA29" s="28" t="s">
        <v>15</v>
      </c>
      <c r="AB29" s="28" t="s">
        <v>15</v>
      </c>
      <c r="AC29" s="28" t="s">
        <v>15</v>
      </c>
      <c r="AD29" s="28" t="s">
        <v>15</v>
      </c>
      <c r="AE29" s="28" t="s">
        <v>15</v>
      </c>
      <c r="AF29" s="93">
        <v>2854.7</v>
      </c>
      <c r="AG29" s="93">
        <v>2834.94</v>
      </c>
      <c r="AH29" s="93">
        <v>2894.95</v>
      </c>
      <c r="AI29" s="93">
        <v>3211.36</v>
      </c>
      <c r="AJ29" s="93">
        <v>3136.86</v>
      </c>
      <c r="AK29" s="93">
        <v>3251.09</v>
      </c>
      <c r="AL29" s="84">
        <v>3270.41</v>
      </c>
      <c r="AM29" s="92">
        <v>3441.57</v>
      </c>
      <c r="AN29" s="84">
        <v>3383.02</v>
      </c>
      <c r="AO29" s="85">
        <v>3368.69</v>
      </c>
      <c r="AP29" s="85">
        <v>3365.45</v>
      </c>
      <c r="AQ29" s="85">
        <v>3570.2</v>
      </c>
      <c r="AR29" s="84">
        <v>3529.3</v>
      </c>
      <c r="AS29" s="87">
        <v>3194.28</v>
      </c>
      <c r="AT29" s="87">
        <v>3456.63</v>
      </c>
      <c r="AU29" s="88">
        <v>3782.73</v>
      </c>
      <c r="AV29" s="89">
        <v>3646.49</v>
      </c>
      <c r="AW29" s="87">
        <v>3642.59</v>
      </c>
      <c r="AX29" s="87">
        <v>3646.6</v>
      </c>
      <c r="AY29" s="98" t="s">
        <v>28</v>
      </c>
      <c r="AZ29" s="84">
        <v>3873.79</v>
      </c>
      <c r="BA29" s="85">
        <v>3777.55</v>
      </c>
      <c r="BB29" s="85">
        <v>3789.73</v>
      </c>
      <c r="BC29" s="90">
        <v>4073.1</v>
      </c>
      <c r="BD29" s="84">
        <v>4032.31</v>
      </c>
      <c r="BE29" s="85">
        <v>3967.29</v>
      </c>
      <c r="BF29" s="85">
        <v>3943.98</v>
      </c>
      <c r="BG29" s="85">
        <v>4203.3100000000004</v>
      </c>
      <c r="BH29" s="84">
        <v>4136.72</v>
      </c>
      <c r="BI29" s="85">
        <v>4119.1099999999997</v>
      </c>
      <c r="BJ29" s="85">
        <v>4136.3100000000004</v>
      </c>
      <c r="BK29" s="91">
        <v>4380.3900000000003</v>
      </c>
      <c r="BL29" s="92">
        <v>4300.8900000000003</v>
      </c>
      <c r="BM29" s="85">
        <v>4285.58</v>
      </c>
      <c r="BN29" s="85">
        <v>4284.45</v>
      </c>
      <c r="BO29" s="91">
        <v>4556.1099999999997</v>
      </c>
      <c r="BP29" s="92">
        <v>4539.5200000000004</v>
      </c>
      <c r="BQ29" s="85">
        <v>4439.91</v>
      </c>
      <c r="BR29" s="85">
        <v>4481.7700000000004</v>
      </c>
      <c r="BS29" s="91">
        <v>4801.53</v>
      </c>
      <c r="BT29" s="92">
        <v>4752.7</v>
      </c>
      <c r="BU29" s="85">
        <v>4757.9399999999996</v>
      </c>
      <c r="BV29" s="118">
        <v>4688.96</v>
      </c>
      <c r="BW29" s="85">
        <v>5155.13</v>
      </c>
      <c r="BX29" s="145">
        <v>5028.33</v>
      </c>
      <c r="BY29" s="145">
        <v>4859.47</v>
      </c>
      <c r="BZ29" s="145">
        <v>5015.7700000000004</v>
      </c>
      <c r="CA29" s="149">
        <v>5353.74</v>
      </c>
      <c r="CB29" s="149">
        <v>5280.34</v>
      </c>
      <c r="CC29" s="149">
        <v>5187.8</v>
      </c>
      <c r="CD29" s="149">
        <v>5326.47</v>
      </c>
      <c r="CE29" s="149">
        <v>5560.94</v>
      </c>
      <c r="CF29" s="149">
        <v>5635.9</v>
      </c>
      <c r="CG29" s="149">
        <v>5390.4</v>
      </c>
      <c r="CH29" s="149">
        <v>5638.6</v>
      </c>
      <c r="CI29" s="149">
        <v>5953.94</v>
      </c>
      <c r="CJ29" s="164">
        <v>5916.96</v>
      </c>
      <c r="CK29" s="156">
        <v>5815.15</v>
      </c>
      <c r="CL29" s="168">
        <v>5875.02</v>
      </c>
      <c r="CM29" s="162"/>
    </row>
    <row r="30" spans="2:91" ht="27.75">
      <c r="B30" s="130" t="s">
        <v>29</v>
      </c>
      <c r="C30" s="127" t="s">
        <v>10</v>
      </c>
      <c r="D30" s="27" t="s">
        <v>15</v>
      </c>
      <c r="E30" s="28" t="s">
        <v>15</v>
      </c>
      <c r="F30" s="28" t="s">
        <v>15</v>
      </c>
      <c r="G30" s="28" t="s">
        <v>15</v>
      </c>
      <c r="H30" s="28" t="s">
        <v>15</v>
      </c>
      <c r="I30" s="28" t="s">
        <v>15</v>
      </c>
      <c r="J30" s="28" t="s">
        <v>15</v>
      </c>
      <c r="K30" s="28" t="s">
        <v>15</v>
      </c>
      <c r="L30" s="28" t="s">
        <v>15</v>
      </c>
      <c r="M30" s="28" t="s">
        <v>15</v>
      </c>
      <c r="N30" s="28" t="s">
        <v>15</v>
      </c>
      <c r="O30" s="28" t="s">
        <v>15</v>
      </c>
      <c r="P30" s="28" t="s">
        <v>15</v>
      </c>
      <c r="Q30" s="28" t="s">
        <v>15</v>
      </c>
      <c r="R30" s="28" t="s">
        <v>15</v>
      </c>
      <c r="S30" s="28" t="s">
        <v>15</v>
      </c>
      <c r="T30" s="28" t="s">
        <v>15</v>
      </c>
      <c r="U30" s="28" t="s">
        <v>15</v>
      </c>
      <c r="V30" s="28" t="s">
        <v>15</v>
      </c>
      <c r="W30" s="28" t="s">
        <v>15</v>
      </c>
      <c r="X30" s="28" t="s">
        <v>15</v>
      </c>
      <c r="Y30" s="28" t="s">
        <v>15</v>
      </c>
      <c r="Z30" s="28" t="s">
        <v>15</v>
      </c>
      <c r="AA30" s="28" t="s">
        <v>15</v>
      </c>
      <c r="AB30" s="28" t="s">
        <v>15</v>
      </c>
      <c r="AC30" s="28" t="s">
        <v>15</v>
      </c>
      <c r="AD30" s="28" t="s">
        <v>15</v>
      </c>
      <c r="AE30" s="28" t="s">
        <v>15</v>
      </c>
      <c r="AF30" s="93">
        <v>3048.69</v>
      </c>
      <c r="AG30" s="93">
        <v>2538</v>
      </c>
      <c r="AH30" s="93">
        <v>2614.54</v>
      </c>
      <c r="AI30" s="93">
        <v>2689.73</v>
      </c>
      <c r="AJ30" s="93">
        <v>3222.94</v>
      </c>
      <c r="AK30" s="93">
        <v>2814.22</v>
      </c>
      <c r="AL30" s="84">
        <v>2861.03</v>
      </c>
      <c r="AM30" s="92">
        <v>2937.51</v>
      </c>
      <c r="AN30" s="84">
        <v>3567.57</v>
      </c>
      <c r="AO30" s="85">
        <v>2959.27</v>
      </c>
      <c r="AP30" s="85">
        <v>3054.47</v>
      </c>
      <c r="AQ30" s="85">
        <v>3114.84</v>
      </c>
      <c r="AR30" s="84">
        <v>3923.53</v>
      </c>
      <c r="AS30" s="87">
        <v>3052.89</v>
      </c>
      <c r="AT30" s="87">
        <v>3189.94</v>
      </c>
      <c r="AU30" s="88">
        <v>3406.14</v>
      </c>
      <c r="AV30" s="89">
        <v>4147.57</v>
      </c>
      <c r="AW30" s="87">
        <v>3233.92</v>
      </c>
      <c r="AX30" s="87">
        <v>3423.16</v>
      </c>
      <c r="AY30" s="98">
        <v>3592.67</v>
      </c>
      <c r="AZ30" s="84">
        <v>4393.47</v>
      </c>
      <c r="BA30" s="85">
        <v>3389.63</v>
      </c>
      <c r="BB30" s="85">
        <v>3602.93</v>
      </c>
      <c r="BC30" s="90">
        <v>3701.38</v>
      </c>
      <c r="BD30" s="84">
        <v>4495.25</v>
      </c>
      <c r="BE30" s="85">
        <v>3538.03</v>
      </c>
      <c r="BF30" s="85">
        <v>3817.72</v>
      </c>
      <c r="BG30" s="85">
        <v>3846.46</v>
      </c>
      <c r="BH30" s="84">
        <v>4666.2</v>
      </c>
      <c r="BI30" s="85">
        <v>3647.96</v>
      </c>
      <c r="BJ30" s="85">
        <v>3865.57</v>
      </c>
      <c r="BK30" s="91">
        <v>3991.45</v>
      </c>
      <c r="BL30" s="92">
        <v>4787.16</v>
      </c>
      <c r="BM30" s="85">
        <v>3755.54</v>
      </c>
      <c r="BN30" s="85">
        <v>3991.99</v>
      </c>
      <c r="BO30" s="91">
        <v>4110.45</v>
      </c>
      <c r="BP30" s="92">
        <v>4854.01</v>
      </c>
      <c r="BQ30" s="85">
        <v>3834.87</v>
      </c>
      <c r="BR30" s="85">
        <v>3975.44</v>
      </c>
      <c r="BS30" s="91">
        <v>4120.75</v>
      </c>
      <c r="BT30" s="92">
        <v>4919.7700000000004</v>
      </c>
      <c r="BU30" s="85">
        <v>3936.18</v>
      </c>
      <c r="BV30" s="118">
        <v>3979.36</v>
      </c>
      <c r="BW30" s="85">
        <v>4280.5</v>
      </c>
      <c r="BX30" s="145">
        <v>5045.5600000000004</v>
      </c>
      <c r="BY30" s="145">
        <v>4120.34</v>
      </c>
      <c r="BZ30" s="145">
        <v>4276.01</v>
      </c>
      <c r="CA30" s="149">
        <v>4500.93</v>
      </c>
      <c r="CB30" s="149">
        <v>5437.43</v>
      </c>
      <c r="CC30" s="149">
        <v>4248.49</v>
      </c>
      <c r="CD30" s="149">
        <v>4738.32</v>
      </c>
      <c r="CE30" s="149">
        <v>5076.5200000000004</v>
      </c>
      <c r="CF30" s="149">
        <v>5949.75</v>
      </c>
      <c r="CG30" s="149">
        <v>4707.42</v>
      </c>
      <c r="CH30" s="149">
        <v>5108.12</v>
      </c>
      <c r="CI30" s="149">
        <v>5447.41</v>
      </c>
      <c r="CJ30" s="164">
        <v>6441.43</v>
      </c>
      <c r="CK30" s="167">
        <v>5144.1899999999996</v>
      </c>
      <c r="CL30" s="170">
        <v>5426.6</v>
      </c>
      <c r="CM30" s="162"/>
    </row>
    <row r="31" spans="2:91" ht="27.75">
      <c r="B31" s="134" t="s">
        <v>30</v>
      </c>
      <c r="C31" s="127" t="s">
        <v>10</v>
      </c>
      <c r="D31" s="27" t="s">
        <v>15</v>
      </c>
      <c r="E31" s="28" t="s">
        <v>15</v>
      </c>
      <c r="F31" s="28" t="s">
        <v>15</v>
      </c>
      <c r="G31" s="28" t="s">
        <v>15</v>
      </c>
      <c r="H31" s="28" t="s">
        <v>15</v>
      </c>
      <c r="I31" s="28" t="s">
        <v>15</v>
      </c>
      <c r="J31" s="28" t="s">
        <v>15</v>
      </c>
      <c r="K31" s="28" t="s">
        <v>15</v>
      </c>
      <c r="L31" s="28" t="s">
        <v>15</v>
      </c>
      <c r="M31" s="28" t="s">
        <v>15</v>
      </c>
      <c r="N31" s="28" t="s">
        <v>15</v>
      </c>
      <c r="O31" s="28" t="s">
        <v>15</v>
      </c>
      <c r="P31" s="28" t="s">
        <v>15</v>
      </c>
      <c r="Q31" s="28" t="s">
        <v>15</v>
      </c>
      <c r="R31" s="28" t="s">
        <v>15</v>
      </c>
      <c r="S31" s="28" t="s">
        <v>15</v>
      </c>
      <c r="T31" s="28" t="s">
        <v>15</v>
      </c>
      <c r="U31" s="28" t="s">
        <v>15</v>
      </c>
      <c r="V31" s="28" t="s">
        <v>15</v>
      </c>
      <c r="W31" s="28" t="s">
        <v>15</v>
      </c>
      <c r="X31" s="28" t="s">
        <v>15</v>
      </c>
      <c r="Y31" s="28" t="s">
        <v>15</v>
      </c>
      <c r="Z31" s="28" t="s">
        <v>15</v>
      </c>
      <c r="AA31" s="28" t="s">
        <v>15</v>
      </c>
      <c r="AB31" s="28" t="s">
        <v>15</v>
      </c>
      <c r="AC31" s="28" t="s">
        <v>15</v>
      </c>
      <c r="AD31" s="28" t="s">
        <v>15</v>
      </c>
      <c r="AE31" s="28" t="s">
        <v>15</v>
      </c>
      <c r="AF31" s="93">
        <v>2473.09</v>
      </c>
      <c r="AG31" s="93">
        <v>2390.5300000000002</v>
      </c>
      <c r="AH31" s="93">
        <v>2466.83</v>
      </c>
      <c r="AI31" s="93">
        <v>2681.89</v>
      </c>
      <c r="AJ31" s="93">
        <v>2845.13</v>
      </c>
      <c r="AK31" s="93">
        <v>2829.7</v>
      </c>
      <c r="AL31" s="84">
        <v>2931.58</v>
      </c>
      <c r="AM31" s="92">
        <v>3115.69</v>
      </c>
      <c r="AN31" s="84">
        <v>3157.58</v>
      </c>
      <c r="AO31" s="85">
        <v>3009.09</v>
      </c>
      <c r="AP31" s="85">
        <v>3121.33</v>
      </c>
      <c r="AQ31" s="85">
        <v>3165.16</v>
      </c>
      <c r="AR31" s="84">
        <v>3248.46</v>
      </c>
      <c r="AS31" s="87">
        <v>3109.26</v>
      </c>
      <c r="AT31" s="87">
        <v>3179.01</v>
      </c>
      <c r="AU31" s="88">
        <v>3260.62</v>
      </c>
      <c r="AV31" s="89">
        <v>3322.19</v>
      </c>
      <c r="AW31" s="87">
        <v>3196.68</v>
      </c>
      <c r="AX31" s="87">
        <v>3263.63</v>
      </c>
      <c r="AY31" s="98">
        <v>3329.47</v>
      </c>
      <c r="AZ31" s="84">
        <v>3414.98</v>
      </c>
      <c r="BA31" s="85">
        <v>3280.33</v>
      </c>
      <c r="BB31" s="85">
        <v>3321.03</v>
      </c>
      <c r="BC31" s="90">
        <v>3427.84</v>
      </c>
      <c r="BD31" s="84">
        <v>3499.19</v>
      </c>
      <c r="BE31" s="85">
        <v>3347.31</v>
      </c>
      <c r="BF31" s="85">
        <v>3398.83</v>
      </c>
      <c r="BG31" s="85">
        <v>3546.87</v>
      </c>
      <c r="BH31" s="84">
        <v>3571.33</v>
      </c>
      <c r="BI31" s="85">
        <v>3428.23</v>
      </c>
      <c r="BJ31" s="85">
        <v>3516</v>
      </c>
      <c r="BK31" s="91">
        <v>3595.39</v>
      </c>
      <c r="BL31" s="92">
        <v>3683.53</v>
      </c>
      <c r="BM31" s="85">
        <v>3502.5</v>
      </c>
      <c r="BN31" s="85">
        <v>3562.71</v>
      </c>
      <c r="BO31" s="91">
        <v>3813.08</v>
      </c>
      <c r="BP31" s="92">
        <v>3856.44</v>
      </c>
      <c r="BQ31" s="85">
        <v>3675.37</v>
      </c>
      <c r="BR31" s="85">
        <v>3772.58</v>
      </c>
      <c r="BS31" s="91">
        <v>3969.99</v>
      </c>
      <c r="BT31" s="92">
        <v>4031.92</v>
      </c>
      <c r="BU31" s="85">
        <v>3903.05</v>
      </c>
      <c r="BV31" s="118">
        <v>4009.1</v>
      </c>
      <c r="BW31" s="85">
        <v>4356.78</v>
      </c>
      <c r="BX31" s="145">
        <v>4378.72</v>
      </c>
      <c r="BY31" s="145">
        <v>4219.71</v>
      </c>
      <c r="BZ31" s="145">
        <v>4459.92</v>
      </c>
      <c r="CA31" s="149">
        <v>4884.72</v>
      </c>
      <c r="CB31" s="149">
        <v>4911.3999999999996</v>
      </c>
      <c r="CC31" s="149">
        <v>4741.8999999999996</v>
      </c>
      <c r="CD31" s="149">
        <v>5008.5</v>
      </c>
      <c r="CE31" s="149">
        <v>5130.75</v>
      </c>
      <c r="CF31" s="149">
        <v>5261.99</v>
      </c>
      <c r="CG31" s="149">
        <v>5039.8599999999997</v>
      </c>
      <c r="CH31" s="149">
        <v>5405.88</v>
      </c>
      <c r="CI31" s="149">
        <v>5770.81</v>
      </c>
      <c r="CJ31" s="164">
        <v>6235.26</v>
      </c>
      <c r="CK31" s="167">
        <v>6294.06</v>
      </c>
      <c r="CL31" s="170">
        <v>6300.18</v>
      </c>
      <c r="CM31" s="162"/>
    </row>
    <row r="32" spans="2:91" ht="26.25">
      <c r="B32" s="135" t="s">
        <v>31</v>
      </c>
      <c r="C32" s="127" t="s">
        <v>11</v>
      </c>
      <c r="D32" s="29" t="s">
        <v>15</v>
      </c>
      <c r="E32" s="4" t="s">
        <v>15</v>
      </c>
      <c r="F32" s="4" t="s">
        <v>15</v>
      </c>
      <c r="G32" s="4" t="s">
        <v>15</v>
      </c>
      <c r="H32" s="4" t="s">
        <v>15</v>
      </c>
      <c r="I32" s="4" t="s">
        <v>15</v>
      </c>
      <c r="J32" s="4" t="s">
        <v>15</v>
      </c>
      <c r="K32" s="4" t="s">
        <v>15</v>
      </c>
      <c r="L32" s="4" t="s">
        <v>15</v>
      </c>
      <c r="M32" s="4" t="s">
        <v>15</v>
      </c>
      <c r="N32" s="4" t="s">
        <v>15</v>
      </c>
      <c r="O32" s="4" t="s">
        <v>15</v>
      </c>
      <c r="P32" s="4" t="s">
        <v>15</v>
      </c>
      <c r="Q32" s="4" t="s">
        <v>15</v>
      </c>
      <c r="R32" s="4" t="s">
        <v>15</v>
      </c>
      <c r="S32" s="4" t="s">
        <v>15</v>
      </c>
      <c r="T32" s="4" t="s">
        <v>15</v>
      </c>
      <c r="U32" s="4" t="s">
        <v>15</v>
      </c>
      <c r="V32" s="4" t="s">
        <v>15</v>
      </c>
      <c r="W32" s="4" t="s">
        <v>15</v>
      </c>
      <c r="X32" s="4" t="s">
        <v>15</v>
      </c>
      <c r="Y32" s="4" t="s">
        <v>15</v>
      </c>
      <c r="Z32" s="4" t="s">
        <v>15</v>
      </c>
      <c r="AA32" s="4" t="s">
        <v>15</v>
      </c>
      <c r="AB32" s="4" t="s">
        <v>15</v>
      </c>
      <c r="AC32" s="4" t="s">
        <v>15</v>
      </c>
      <c r="AD32" s="4" t="s">
        <v>15</v>
      </c>
      <c r="AE32" s="4" t="s">
        <v>15</v>
      </c>
      <c r="AF32" s="18">
        <v>105.2</v>
      </c>
      <c r="AG32" s="18">
        <v>106.5</v>
      </c>
      <c r="AH32" s="18">
        <v>107.8</v>
      </c>
      <c r="AI32" s="18">
        <v>105.4</v>
      </c>
      <c r="AJ32" s="18">
        <v>106</v>
      </c>
      <c r="AK32" s="18">
        <v>107.2</v>
      </c>
      <c r="AL32" s="16">
        <v>105.1</v>
      </c>
      <c r="AM32" s="15">
        <v>103.2</v>
      </c>
      <c r="AN32" s="11">
        <v>103.7</v>
      </c>
      <c r="AO32" s="24">
        <v>100.9</v>
      </c>
      <c r="AP32" s="24">
        <v>101.5</v>
      </c>
      <c r="AQ32" s="24">
        <v>101.4</v>
      </c>
      <c r="AR32" s="11">
        <v>101.1</v>
      </c>
      <c r="AS32" s="24">
        <v>101.5</v>
      </c>
      <c r="AT32" s="24">
        <v>100.8</v>
      </c>
      <c r="AU32" s="55">
        <v>103.2</v>
      </c>
      <c r="AV32" s="13">
        <v>100.8</v>
      </c>
      <c r="AW32" s="24">
        <v>100.9</v>
      </c>
      <c r="AX32" s="24">
        <v>102.5</v>
      </c>
      <c r="AY32" s="70">
        <v>99.9</v>
      </c>
      <c r="AZ32" s="11">
        <v>101.2</v>
      </c>
      <c r="BA32" s="6">
        <v>100</v>
      </c>
      <c r="BB32" s="24">
        <v>99.1</v>
      </c>
      <c r="BC32" s="70">
        <v>100.1</v>
      </c>
      <c r="BD32" s="11">
        <v>101.3</v>
      </c>
      <c r="BE32" s="6">
        <v>102.8</v>
      </c>
      <c r="BF32" s="6">
        <v>103</v>
      </c>
      <c r="BG32" s="24">
        <v>102.9</v>
      </c>
      <c r="BH32" s="11">
        <v>103.7</v>
      </c>
      <c r="BI32" s="6">
        <v>103.2</v>
      </c>
      <c r="BJ32" s="6">
        <v>103.7</v>
      </c>
      <c r="BK32" s="51">
        <v>103.8</v>
      </c>
      <c r="BL32" s="77">
        <v>105.8</v>
      </c>
      <c r="BM32" s="6">
        <v>104.1</v>
      </c>
      <c r="BN32" s="6">
        <v>103.8</v>
      </c>
      <c r="BO32" s="51">
        <v>104</v>
      </c>
      <c r="BP32" s="77">
        <v>104.1</v>
      </c>
      <c r="BQ32" s="6">
        <v>105.4</v>
      </c>
      <c r="BR32" s="6">
        <v>104.9</v>
      </c>
      <c r="BS32" s="51">
        <v>103.4</v>
      </c>
      <c r="BT32" s="77">
        <v>102.1</v>
      </c>
      <c r="BU32" s="6">
        <v>103.1</v>
      </c>
      <c r="BV32" s="6">
        <v>103</v>
      </c>
      <c r="BW32" s="6">
        <v>105</v>
      </c>
      <c r="BX32" s="60">
        <v>104.7</v>
      </c>
      <c r="BY32" s="60">
        <v>105.3</v>
      </c>
      <c r="BZ32" s="60">
        <v>105.5</v>
      </c>
      <c r="CA32" s="61">
        <v>106.2</v>
      </c>
      <c r="CB32" s="61">
        <v>105.7</v>
      </c>
      <c r="CC32" s="61">
        <v>104.5</v>
      </c>
      <c r="CD32" s="61">
        <v>104.9</v>
      </c>
      <c r="CE32" s="61">
        <v>104.1</v>
      </c>
      <c r="CF32" s="61">
        <v>103.2</v>
      </c>
      <c r="CG32" s="61">
        <v>100.8</v>
      </c>
      <c r="CH32" s="61">
        <v>101.8</v>
      </c>
      <c r="CI32" s="61">
        <v>102.2</v>
      </c>
      <c r="CJ32" s="112">
        <v>103.8</v>
      </c>
      <c r="CK32" s="115">
        <v>104.8</v>
      </c>
      <c r="CL32" s="158">
        <v>103.7</v>
      </c>
      <c r="CM32" s="162"/>
    </row>
    <row r="33" spans="2:91" ht="15.75">
      <c r="B33" s="126"/>
      <c r="C33" s="127" t="s">
        <v>12</v>
      </c>
      <c r="D33" s="29" t="s">
        <v>15</v>
      </c>
      <c r="E33" s="4" t="s">
        <v>15</v>
      </c>
      <c r="F33" s="4" t="s">
        <v>15</v>
      </c>
      <c r="G33" s="4" t="s">
        <v>15</v>
      </c>
      <c r="H33" s="4" t="s">
        <v>15</v>
      </c>
      <c r="I33" s="4" t="s">
        <v>15</v>
      </c>
      <c r="J33" s="4" t="s">
        <v>15</v>
      </c>
      <c r="K33" s="4" t="s">
        <v>15</v>
      </c>
      <c r="L33" s="4" t="s">
        <v>15</v>
      </c>
      <c r="M33" s="4" t="s">
        <v>15</v>
      </c>
      <c r="N33" s="4" t="s">
        <v>15</v>
      </c>
      <c r="O33" s="4" t="s">
        <v>15</v>
      </c>
      <c r="P33" s="4" t="s">
        <v>15</v>
      </c>
      <c r="Q33" s="4" t="s">
        <v>15</v>
      </c>
      <c r="R33" s="4" t="s">
        <v>15</v>
      </c>
      <c r="S33" s="4" t="s">
        <v>15</v>
      </c>
      <c r="T33" s="4" t="s">
        <v>15</v>
      </c>
      <c r="U33" s="4" t="s">
        <v>15</v>
      </c>
      <c r="V33" s="4" t="s">
        <v>15</v>
      </c>
      <c r="W33" s="4" t="s">
        <v>15</v>
      </c>
      <c r="X33" s="4" t="s">
        <v>15</v>
      </c>
      <c r="Y33" s="4" t="s">
        <v>15</v>
      </c>
      <c r="Z33" s="4" t="s">
        <v>15</v>
      </c>
      <c r="AA33" s="4" t="s">
        <v>15</v>
      </c>
      <c r="AB33" s="4" t="s">
        <v>15</v>
      </c>
      <c r="AC33" s="4" t="s">
        <v>15</v>
      </c>
      <c r="AD33" s="4" t="s">
        <v>15</v>
      </c>
      <c r="AE33" s="4" t="s">
        <v>15</v>
      </c>
      <c r="AF33" s="18">
        <v>105.2</v>
      </c>
      <c r="AG33" s="18">
        <v>103.2</v>
      </c>
      <c r="AH33" s="18">
        <v>106.5</v>
      </c>
      <c r="AI33" s="14">
        <v>105.5</v>
      </c>
      <c r="AJ33" s="18">
        <v>106</v>
      </c>
      <c r="AK33" s="18">
        <v>103</v>
      </c>
      <c r="AL33" s="16">
        <v>106</v>
      </c>
      <c r="AM33" s="15">
        <v>106</v>
      </c>
      <c r="AN33" s="11">
        <v>103.7</v>
      </c>
      <c r="AO33" s="30">
        <v>102.2</v>
      </c>
      <c r="AP33" s="30">
        <v>102.1</v>
      </c>
      <c r="AQ33" s="30">
        <v>102.1</v>
      </c>
      <c r="AR33" s="11">
        <v>101.1</v>
      </c>
      <c r="AS33" s="30">
        <v>101.2</v>
      </c>
      <c r="AT33" s="56">
        <v>101</v>
      </c>
      <c r="AU33" s="57">
        <v>101.5</v>
      </c>
      <c r="AV33" s="13">
        <v>100.8</v>
      </c>
      <c r="AW33" s="30">
        <v>100.9</v>
      </c>
      <c r="AX33" s="56">
        <v>101.4</v>
      </c>
      <c r="AY33" s="67">
        <v>101.2</v>
      </c>
      <c r="AZ33" s="11">
        <v>101.2</v>
      </c>
      <c r="BA33" s="30">
        <v>100.7</v>
      </c>
      <c r="BB33" s="56">
        <v>100.1</v>
      </c>
      <c r="BC33" s="70">
        <v>99.9</v>
      </c>
      <c r="BD33" s="11">
        <v>101.3</v>
      </c>
      <c r="BE33" s="56">
        <v>102</v>
      </c>
      <c r="BF33" s="56">
        <v>102.4</v>
      </c>
      <c r="BG33" s="24">
        <v>102.5</v>
      </c>
      <c r="BH33" s="11">
        <v>103.7</v>
      </c>
      <c r="BI33" s="56">
        <v>103.5</v>
      </c>
      <c r="BJ33" s="56">
        <v>103.5</v>
      </c>
      <c r="BK33" s="71">
        <v>103.4</v>
      </c>
      <c r="BL33" s="11">
        <v>105.8</v>
      </c>
      <c r="BM33" s="56">
        <v>105</v>
      </c>
      <c r="BN33" s="56">
        <v>104.6</v>
      </c>
      <c r="BO33" s="71">
        <v>104.2</v>
      </c>
      <c r="BP33" s="11">
        <v>104.1</v>
      </c>
      <c r="BQ33" s="56">
        <v>104.6</v>
      </c>
      <c r="BR33" s="56">
        <v>104.6</v>
      </c>
      <c r="BS33" s="71">
        <v>104.2</v>
      </c>
      <c r="BT33" s="11">
        <v>102.1</v>
      </c>
      <c r="BU33" s="56">
        <v>102.6</v>
      </c>
      <c r="BV33" s="56">
        <v>103</v>
      </c>
      <c r="BW33" s="24">
        <v>103.4</v>
      </c>
      <c r="BX33" s="60">
        <v>104.7</v>
      </c>
      <c r="BY33" s="60">
        <v>105.1</v>
      </c>
      <c r="BZ33" s="60">
        <v>105.1</v>
      </c>
      <c r="CA33" s="148">
        <v>105.3</v>
      </c>
      <c r="CB33" s="148">
        <v>105.7</v>
      </c>
      <c r="CC33" s="148">
        <v>105.2</v>
      </c>
      <c r="CD33" s="148">
        <v>105.1</v>
      </c>
      <c r="CE33" s="148">
        <v>104.8</v>
      </c>
      <c r="CF33" s="148">
        <v>103.2</v>
      </c>
      <c r="CG33" s="148">
        <v>102</v>
      </c>
      <c r="CH33" s="148">
        <v>102</v>
      </c>
      <c r="CI33" s="148">
        <v>101.7</v>
      </c>
      <c r="CJ33" s="112">
        <v>103.8</v>
      </c>
      <c r="CK33" s="115">
        <v>104.1</v>
      </c>
      <c r="CL33" s="115">
        <v>104</v>
      </c>
      <c r="CM33" s="162"/>
    </row>
    <row r="34" spans="2:91">
      <c r="B34" s="126"/>
      <c r="C34" s="127" t="s">
        <v>13</v>
      </c>
      <c r="D34" s="29" t="s">
        <v>15</v>
      </c>
      <c r="E34" s="4" t="s">
        <v>15</v>
      </c>
      <c r="F34" s="4" t="s">
        <v>15</v>
      </c>
      <c r="G34" s="4" t="s">
        <v>15</v>
      </c>
      <c r="H34" s="4" t="s">
        <v>15</v>
      </c>
      <c r="I34" s="4" t="s">
        <v>15</v>
      </c>
      <c r="J34" s="4" t="s">
        <v>15</v>
      </c>
      <c r="K34" s="4" t="s">
        <v>15</v>
      </c>
      <c r="L34" s="4" t="s">
        <v>15</v>
      </c>
      <c r="M34" s="4" t="s">
        <v>15</v>
      </c>
      <c r="N34" s="4" t="s">
        <v>15</v>
      </c>
      <c r="O34" s="4" t="s">
        <v>15</v>
      </c>
      <c r="P34" s="4" t="s">
        <v>15</v>
      </c>
      <c r="Q34" s="4" t="s">
        <v>15</v>
      </c>
      <c r="R34" s="4" t="s">
        <v>15</v>
      </c>
      <c r="S34" s="4" t="s">
        <v>15</v>
      </c>
      <c r="T34" s="4" t="s">
        <v>15</v>
      </c>
      <c r="U34" s="4" t="s">
        <v>15</v>
      </c>
      <c r="V34" s="4" t="s">
        <v>15</v>
      </c>
      <c r="W34" s="4" t="s">
        <v>15</v>
      </c>
      <c r="X34" s="4" t="s">
        <v>15</v>
      </c>
      <c r="Y34" s="4" t="s">
        <v>15</v>
      </c>
      <c r="Z34" s="4" t="s">
        <v>15</v>
      </c>
      <c r="AA34" s="4" t="s">
        <v>15</v>
      </c>
      <c r="AB34" s="4" t="s">
        <v>15</v>
      </c>
      <c r="AC34" s="4" t="s">
        <v>15</v>
      </c>
      <c r="AD34" s="4" t="s">
        <v>15</v>
      </c>
      <c r="AE34" s="4" t="s">
        <v>15</v>
      </c>
      <c r="AF34" s="18">
        <v>101.2</v>
      </c>
      <c r="AG34" s="18">
        <v>96.4</v>
      </c>
      <c r="AH34" s="18">
        <v>102.2</v>
      </c>
      <c r="AI34" s="18">
        <v>105.7</v>
      </c>
      <c r="AJ34" s="18">
        <v>101.5</v>
      </c>
      <c r="AK34" s="18">
        <v>97.6</v>
      </c>
      <c r="AL34" s="16">
        <v>100.3</v>
      </c>
      <c r="AM34" s="15">
        <v>103.8</v>
      </c>
      <c r="AN34" s="11">
        <v>101.9</v>
      </c>
      <c r="AO34" s="48">
        <v>95</v>
      </c>
      <c r="AP34" s="23">
        <v>100.9</v>
      </c>
      <c r="AQ34" s="48">
        <v>104</v>
      </c>
      <c r="AR34" s="11">
        <v>101.4</v>
      </c>
      <c r="AS34" s="48">
        <v>95.4</v>
      </c>
      <c r="AT34" s="23">
        <v>100.2</v>
      </c>
      <c r="AU34" s="58">
        <v>106.3</v>
      </c>
      <c r="AV34" s="13">
        <v>98.9</v>
      </c>
      <c r="AW34" s="48">
        <v>95.7</v>
      </c>
      <c r="AX34" s="65">
        <v>101.8</v>
      </c>
      <c r="AY34" s="68">
        <v>103.7</v>
      </c>
      <c r="AZ34" s="11">
        <v>100.1</v>
      </c>
      <c r="BA34" s="48">
        <v>94.8</v>
      </c>
      <c r="BB34" s="23">
        <v>100.8</v>
      </c>
      <c r="BC34" s="68">
        <v>104.7</v>
      </c>
      <c r="BD34" s="11">
        <v>101.2</v>
      </c>
      <c r="BE34" s="48">
        <v>96.2</v>
      </c>
      <c r="BF34" s="23">
        <v>101.1</v>
      </c>
      <c r="BG34" s="48">
        <v>104.6</v>
      </c>
      <c r="BH34" s="11">
        <v>101.7</v>
      </c>
      <c r="BI34" s="48">
        <v>96</v>
      </c>
      <c r="BJ34" s="23">
        <v>101.6</v>
      </c>
      <c r="BK34" s="54">
        <v>104.7</v>
      </c>
      <c r="BL34" s="11">
        <v>103.4</v>
      </c>
      <c r="BM34" s="48">
        <v>94.6</v>
      </c>
      <c r="BN34" s="23">
        <v>101.4</v>
      </c>
      <c r="BO34" s="54">
        <v>104.7</v>
      </c>
      <c r="BP34" s="11">
        <v>103.5</v>
      </c>
      <c r="BQ34" s="48">
        <v>95.6</v>
      </c>
      <c r="BR34" s="23">
        <v>101.2</v>
      </c>
      <c r="BS34" s="54">
        <v>103.2</v>
      </c>
      <c r="BT34" s="11">
        <v>102.2</v>
      </c>
      <c r="BU34" s="48">
        <v>96.6</v>
      </c>
      <c r="BV34" s="23">
        <v>101.1</v>
      </c>
      <c r="BW34" s="48">
        <v>104.9</v>
      </c>
      <c r="BX34" s="12">
        <v>102.1</v>
      </c>
      <c r="BY34" s="60">
        <v>97.2</v>
      </c>
      <c r="BZ34" s="144">
        <v>101.3</v>
      </c>
      <c r="CA34" s="61">
        <v>105.7</v>
      </c>
      <c r="CB34" s="61">
        <v>101.6</v>
      </c>
      <c r="CC34" s="61">
        <v>96.1</v>
      </c>
      <c r="CD34" s="61">
        <v>101.6</v>
      </c>
      <c r="CE34" s="61">
        <v>104.8</v>
      </c>
      <c r="CF34" s="61">
        <v>100.7</v>
      </c>
      <c r="CG34" s="61">
        <v>94</v>
      </c>
      <c r="CH34" s="61">
        <v>102.7</v>
      </c>
      <c r="CI34" s="61">
        <v>105.2</v>
      </c>
      <c r="CJ34" s="112">
        <v>102.1</v>
      </c>
      <c r="CK34" s="115">
        <v>95.1</v>
      </c>
      <c r="CL34" s="115">
        <v>101.7</v>
      </c>
      <c r="CM34" s="162"/>
    </row>
    <row r="35" spans="2:91" ht="27.75">
      <c r="B35" s="128" t="s">
        <v>32</v>
      </c>
      <c r="C35" s="127" t="s">
        <v>11</v>
      </c>
      <c r="D35" s="29" t="s">
        <v>15</v>
      </c>
      <c r="E35" s="4" t="s">
        <v>15</v>
      </c>
      <c r="F35" s="4" t="s">
        <v>15</v>
      </c>
      <c r="G35" s="4" t="s">
        <v>15</v>
      </c>
      <c r="H35" s="4" t="s">
        <v>15</v>
      </c>
      <c r="I35" s="4" t="s">
        <v>15</v>
      </c>
      <c r="J35" s="4" t="s">
        <v>15</v>
      </c>
      <c r="K35" s="4" t="s">
        <v>15</v>
      </c>
      <c r="L35" s="4" t="s">
        <v>15</v>
      </c>
      <c r="M35" s="4" t="s">
        <v>15</v>
      </c>
      <c r="N35" s="4" t="s">
        <v>15</v>
      </c>
      <c r="O35" s="4" t="s">
        <v>15</v>
      </c>
      <c r="P35" s="4" t="s">
        <v>15</v>
      </c>
      <c r="Q35" s="4" t="s">
        <v>15</v>
      </c>
      <c r="R35" s="4" t="s">
        <v>15</v>
      </c>
      <c r="S35" s="4" t="s">
        <v>15</v>
      </c>
      <c r="T35" s="4" t="s">
        <v>15</v>
      </c>
      <c r="U35" s="4" t="s">
        <v>15</v>
      </c>
      <c r="V35" s="4" t="s">
        <v>15</v>
      </c>
      <c r="W35" s="4" t="s">
        <v>15</v>
      </c>
      <c r="X35" s="4" t="s">
        <v>15</v>
      </c>
      <c r="Y35" s="4" t="s">
        <v>15</v>
      </c>
      <c r="Z35" s="4" t="s">
        <v>15</v>
      </c>
      <c r="AA35" s="4" t="s">
        <v>15</v>
      </c>
      <c r="AB35" s="4" t="s">
        <v>15</v>
      </c>
      <c r="AC35" s="4" t="s">
        <v>15</v>
      </c>
      <c r="AD35" s="4" t="s">
        <v>15</v>
      </c>
      <c r="AE35" s="4" t="s">
        <v>15</v>
      </c>
      <c r="AF35" s="18">
        <v>105.9</v>
      </c>
      <c r="AG35" s="18">
        <v>106.5</v>
      </c>
      <c r="AH35" s="18">
        <v>108.2</v>
      </c>
      <c r="AI35" s="18">
        <v>106.6</v>
      </c>
      <c r="AJ35" s="18">
        <v>107.5</v>
      </c>
      <c r="AK35" s="18">
        <v>107.9</v>
      </c>
      <c r="AL35" s="16">
        <v>105.6</v>
      </c>
      <c r="AM35" s="31">
        <v>103.6</v>
      </c>
      <c r="AN35" s="11">
        <v>103.2</v>
      </c>
      <c r="AO35" s="24">
        <v>100.2</v>
      </c>
      <c r="AP35" s="24">
        <v>100.5</v>
      </c>
      <c r="AQ35" s="24">
        <v>100.5</v>
      </c>
      <c r="AR35" s="11">
        <v>99.8</v>
      </c>
      <c r="AS35" s="24">
        <v>101.5</v>
      </c>
      <c r="AT35" s="24">
        <v>99.9</v>
      </c>
      <c r="AU35" s="55">
        <v>101.6</v>
      </c>
      <c r="AV35" s="13">
        <v>100.4</v>
      </c>
      <c r="AW35" s="24">
        <v>100.6</v>
      </c>
      <c r="AX35" s="6">
        <v>102</v>
      </c>
      <c r="AY35" s="70">
        <v>100.2</v>
      </c>
      <c r="AZ35" s="11">
        <v>101.3</v>
      </c>
      <c r="BA35" s="24">
        <v>99.1</v>
      </c>
      <c r="BB35" s="6">
        <v>99</v>
      </c>
      <c r="BC35" s="69">
        <v>100</v>
      </c>
      <c r="BD35" s="11">
        <v>100.8</v>
      </c>
      <c r="BE35" s="24">
        <v>102.4</v>
      </c>
      <c r="BF35" s="6">
        <v>102.3</v>
      </c>
      <c r="BG35" s="6">
        <v>102.6</v>
      </c>
      <c r="BH35" s="11">
        <v>103.7</v>
      </c>
      <c r="BI35" s="24">
        <v>103.8</v>
      </c>
      <c r="BJ35" s="6">
        <v>103.5</v>
      </c>
      <c r="BK35" s="51">
        <v>104</v>
      </c>
      <c r="BL35" s="11">
        <v>105.7</v>
      </c>
      <c r="BM35" s="24">
        <v>104.1</v>
      </c>
      <c r="BN35" s="6">
        <v>104.4</v>
      </c>
      <c r="BO35" s="51">
        <v>104.2</v>
      </c>
      <c r="BP35" s="11">
        <v>104.7</v>
      </c>
      <c r="BQ35" s="24">
        <v>105.5</v>
      </c>
      <c r="BR35" s="6">
        <v>105</v>
      </c>
      <c r="BS35" s="51">
        <v>102.6</v>
      </c>
      <c r="BT35" s="11">
        <v>102.5</v>
      </c>
      <c r="BU35" s="24">
        <v>103.5</v>
      </c>
      <c r="BV35" s="6">
        <v>104.1</v>
      </c>
      <c r="BW35" s="6">
        <v>105.5</v>
      </c>
      <c r="BX35" s="12">
        <v>105.6</v>
      </c>
      <c r="BY35" s="144">
        <v>105.7</v>
      </c>
      <c r="BZ35" s="60">
        <v>104.8</v>
      </c>
      <c r="CA35" s="61">
        <v>105.5</v>
      </c>
      <c r="CB35" s="61">
        <v>105.3</v>
      </c>
      <c r="CC35" s="61">
        <v>104.4</v>
      </c>
      <c r="CD35" s="61">
        <v>104</v>
      </c>
      <c r="CE35" s="61">
        <v>103</v>
      </c>
      <c r="CF35" s="61">
        <v>102.5</v>
      </c>
      <c r="CG35" s="61">
        <v>99.1</v>
      </c>
      <c r="CH35" s="61">
        <v>101.4</v>
      </c>
      <c r="CI35" s="61">
        <v>102.6</v>
      </c>
      <c r="CJ35" s="115">
        <v>102.9</v>
      </c>
      <c r="CK35" s="115">
        <v>105.2</v>
      </c>
      <c r="CL35" s="115">
        <v>103.9</v>
      </c>
      <c r="CM35" s="162"/>
    </row>
    <row r="36" spans="2:91" ht="15.75">
      <c r="B36" s="126"/>
      <c r="C36" s="127" t="s">
        <v>12</v>
      </c>
      <c r="D36" s="29" t="s">
        <v>15</v>
      </c>
      <c r="E36" s="4" t="s">
        <v>15</v>
      </c>
      <c r="F36" s="4" t="s">
        <v>15</v>
      </c>
      <c r="G36" s="4" t="s">
        <v>15</v>
      </c>
      <c r="H36" s="4" t="s">
        <v>15</v>
      </c>
      <c r="I36" s="4" t="s">
        <v>15</v>
      </c>
      <c r="J36" s="4" t="s">
        <v>15</v>
      </c>
      <c r="K36" s="4" t="s">
        <v>15</v>
      </c>
      <c r="L36" s="4" t="s">
        <v>15</v>
      </c>
      <c r="M36" s="4" t="s">
        <v>15</v>
      </c>
      <c r="N36" s="4" t="s">
        <v>15</v>
      </c>
      <c r="O36" s="4" t="s">
        <v>15</v>
      </c>
      <c r="P36" s="4" t="s">
        <v>15</v>
      </c>
      <c r="Q36" s="4" t="s">
        <v>15</v>
      </c>
      <c r="R36" s="4" t="s">
        <v>15</v>
      </c>
      <c r="S36" s="4" t="s">
        <v>15</v>
      </c>
      <c r="T36" s="4" t="s">
        <v>15</v>
      </c>
      <c r="U36" s="4" t="s">
        <v>15</v>
      </c>
      <c r="V36" s="4" t="s">
        <v>15</v>
      </c>
      <c r="W36" s="4" t="s">
        <v>15</v>
      </c>
      <c r="X36" s="4" t="s">
        <v>15</v>
      </c>
      <c r="Y36" s="4" t="s">
        <v>15</v>
      </c>
      <c r="Z36" s="4" t="s">
        <v>15</v>
      </c>
      <c r="AA36" s="4" t="s">
        <v>15</v>
      </c>
      <c r="AB36" s="4" t="s">
        <v>15</v>
      </c>
      <c r="AC36" s="4" t="s">
        <v>15</v>
      </c>
      <c r="AD36" s="4" t="s">
        <v>15</v>
      </c>
      <c r="AE36" s="4" t="s">
        <v>15</v>
      </c>
      <c r="AF36" s="18">
        <v>105.9</v>
      </c>
      <c r="AG36" s="18">
        <v>106.2</v>
      </c>
      <c r="AH36" s="18">
        <v>106.9</v>
      </c>
      <c r="AI36" s="18">
        <v>106.8</v>
      </c>
      <c r="AJ36" s="18">
        <v>107.5</v>
      </c>
      <c r="AK36" s="18">
        <v>107.7</v>
      </c>
      <c r="AL36" s="16">
        <v>106.9</v>
      </c>
      <c r="AM36" s="31">
        <v>106.1</v>
      </c>
      <c r="AN36" s="11">
        <v>103.2</v>
      </c>
      <c r="AO36" s="24">
        <v>101.6</v>
      </c>
      <c r="AP36" s="24">
        <v>101.3</v>
      </c>
      <c r="AQ36" s="24">
        <v>101.1</v>
      </c>
      <c r="AR36" s="11">
        <v>99.8</v>
      </c>
      <c r="AS36" s="24">
        <v>100.6</v>
      </c>
      <c r="AT36" s="24">
        <v>100.4</v>
      </c>
      <c r="AU36" s="55">
        <v>100.8</v>
      </c>
      <c r="AV36" s="13">
        <v>100.4</v>
      </c>
      <c r="AW36" s="24">
        <v>100.6</v>
      </c>
      <c r="AX36" s="24">
        <v>101.1</v>
      </c>
      <c r="AY36" s="70">
        <v>100.9</v>
      </c>
      <c r="AZ36" s="11">
        <v>101.3</v>
      </c>
      <c r="BA36" s="24">
        <v>100.3</v>
      </c>
      <c r="BB36" s="24">
        <v>99.8</v>
      </c>
      <c r="BC36" s="70">
        <v>99.8</v>
      </c>
      <c r="BD36" s="11">
        <v>100.8</v>
      </c>
      <c r="BE36" s="24">
        <v>101.6</v>
      </c>
      <c r="BF36" s="24">
        <v>101.9</v>
      </c>
      <c r="BG36" s="6">
        <v>102</v>
      </c>
      <c r="BH36" s="11">
        <v>103.7</v>
      </c>
      <c r="BI36" s="24">
        <v>103.7</v>
      </c>
      <c r="BJ36" s="24">
        <v>103.7</v>
      </c>
      <c r="BK36" s="71">
        <v>103.7</v>
      </c>
      <c r="BL36" s="11">
        <v>105.7</v>
      </c>
      <c r="BM36" s="6">
        <v>105</v>
      </c>
      <c r="BN36" s="24">
        <v>104.8</v>
      </c>
      <c r="BO36" s="71">
        <v>104.5</v>
      </c>
      <c r="BP36" s="11">
        <v>104.7</v>
      </c>
      <c r="BQ36" s="6">
        <v>105.1</v>
      </c>
      <c r="BR36" s="6">
        <v>105</v>
      </c>
      <c r="BS36" s="71">
        <v>104.4</v>
      </c>
      <c r="BT36" s="11">
        <v>102.5</v>
      </c>
      <c r="BU36" s="6">
        <v>103</v>
      </c>
      <c r="BV36" s="6">
        <v>103.4</v>
      </c>
      <c r="BW36" s="24">
        <v>103.9</v>
      </c>
      <c r="BX36" s="12">
        <v>105.6</v>
      </c>
      <c r="BY36" s="60">
        <v>105.7</v>
      </c>
      <c r="BZ36" s="60">
        <v>105.4</v>
      </c>
      <c r="CA36" s="148">
        <v>105.4</v>
      </c>
      <c r="CB36" s="148">
        <v>105.3</v>
      </c>
      <c r="CC36" s="148">
        <v>104.9</v>
      </c>
      <c r="CD36" s="148">
        <v>104.6</v>
      </c>
      <c r="CE36" s="148">
        <v>104.1</v>
      </c>
      <c r="CF36" s="148">
        <v>102.5</v>
      </c>
      <c r="CG36" s="148">
        <v>100.8</v>
      </c>
      <c r="CH36" s="148">
        <v>101.1</v>
      </c>
      <c r="CI36" s="148">
        <v>101.5</v>
      </c>
      <c r="CJ36" s="112">
        <v>102.9</v>
      </c>
      <c r="CK36" s="115">
        <v>104</v>
      </c>
      <c r="CL36" s="115">
        <v>103.9</v>
      </c>
      <c r="CM36" s="162"/>
    </row>
    <row r="37" spans="2:91">
      <c r="B37" s="126"/>
      <c r="C37" s="127" t="s">
        <v>13</v>
      </c>
      <c r="D37" s="32" t="s">
        <v>15</v>
      </c>
      <c r="E37" s="4" t="s">
        <v>15</v>
      </c>
      <c r="F37" s="4" t="s">
        <v>15</v>
      </c>
      <c r="G37" s="4" t="s">
        <v>15</v>
      </c>
      <c r="H37" s="4" t="s">
        <v>15</v>
      </c>
      <c r="I37" s="4" t="s">
        <v>15</v>
      </c>
      <c r="J37" s="4" t="s">
        <v>15</v>
      </c>
      <c r="K37" s="4" t="s">
        <v>15</v>
      </c>
      <c r="L37" s="4" t="s">
        <v>15</v>
      </c>
      <c r="M37" s="4" t="s">
        <v>15</v>
      </c>
      <c r="N37" s="4" t="s">
        <v>15</v>
      </c>
      <c r="O37" s="4" t="s">
        <v>15</v>
      </c>
      <c r="P37" s="4" t="s">
        <v>15</v>
      </c>
      <c r="Q37" s="4" t="s">
        <v>15</v>
      </c>
      <c r="R37" s="4" t="s">
        <v>15</v>
      </c>
      <c r="S37" s="4" t="s">
        <v>15</v>
      </c>
      <c r="T37" s="4" t="s">
        <v>15</v>
      </c>
      <c r="U37" s="4" t="s">
        <v>15</v>
      </c>
      <c r="V37" s="4" t="s">
        <v>15</v>
      </c>
      <c r="W37" s="4" t="s">
        <v>15</v>
      </c>
      <c r="X37" s="4" t="s">
        <v>15</v>
      </c>
      <c r="Y37" s="4" t="s">
        <v>15</v>
      </c>
      <c r="Z37" s="4" t="s">
        <v>15</v>
      </c>
      <c r="AA37" s="4" t="s">
        <v>15</v>
      </c>
      <c r="AB37" s="4" t="s">
        <v>15</v>
      </c>
      <c r="AC37" s="4" t="s">
        <v>15</v>
      </c>
      <c r="AD37" s="4" t="s">
        <v>15</v>
      </c>
      <c r="AE37" s="4" t="s">
        <v>15</v>
      </c>
      <c r="AF37" s="33">
        <v>96.4</v>
      </c>
      <c r="AG37" s="33">
        <v>101.6</v>
      </c>
      <c r="AH37" s="18">
        <v>102.8</v>
      </c>
      <c r="AI37" s="18">
        <v>105.8</v>
      </c>
      <c r="AJ37" s="18">
        <v>97</v>
      </c>
      <c r="AK37" s="18">
        <v>102</v>
      </c>
      <c r="AL37" s="16">
        <v>100.8</v>
      </c>
      <c r="AM37" s="34">
        <v>103.7</v>
      </c>
      <c r="AN37" s="35">
        <v>96.6</v>
      </c>
      <c r="AO37" s="36">
        <v>99.1</v>
      </c>
      <c r="AP37" s="49">
        <v>101</v>
      </c>
      <c r="AQ37" s="48">
        <v>104</v>
      </c>
      <c r="AR37" s="35">
        <v>95.9</v>
      </c>
      <c r="AS37" s="36">
        <v>100.8</v>
      </c>
      <c r="AT37" s="49">
        <v>99.5</v>
      </c>
      <c r="AU37" s="58">
        <v>105.6</v>
      </c>
      <c r="AV37" s="72">
        <v>94.7</v>
      </c>
      <c r="AW37" s="36">
        <v>101.2</v>
      </c>
      <c r="AX37" s="49">
        <v>100.9</v>
      </c>
      <c r="AY37" s="68">
        <v>103.6</v>
      </c>
      <c r="AZ37" s="35">
        <v>95.7</v>
      </c>
      <c r="BA37" s="36">
        <v>99.3</v>
      </c>
      <c r="BB37" s="49">
        <v>100.6</v>
      </c>
      <c r="BC37" s="68">
        <v>104.7</v>
      </c>
      <c r="BD37" s="35">
        <v>96.4</v>
      </c>
      <c r="BE37" s="36">
        <v>100.9</v>
      </c>
      <c r="BF37" s="49">
        <v>100.7</v>
      </c>
      <c r="BG37" s="48">
        <v>105</v>
      </c>
      <c r="BH37" s="35">
        <v>97.1</v>
      </c>
      <c r="BI37" s="36">
        <v>101.2</v>
      </c>
      <c r="BJ37" s="49">
        <v>100.4</v>
      </c>
      <c r="BK37" s="54">
        <v>105.5</v>
      </c>
      <c r="BL37" s="35">
        <v>98.5</v>
      </c>
      <c r="BM37" s="36">
        <v>99.8</v>
      </c>
      <c r="BN37" s="49">
        <v>100.8</v>
      </c>
      <c r="BO37" s="54">
        <v>105.2</v>
      </c>
      <c r="BP37" s="35">
        <v>98.9</v>
      </c>
      <c r="BQ37" s="36">
        <v>100.6</v>
      </c>
      <c r="BR37" s="49">
        <v>100.5</v>
      </c>
      <c r="BS37" s="54">
        <v>102.7</v>
      </c>
      <c r="BT37" s="35">
        <v>98.7</v>
      </c>
      <c r="BU37" s="36">
        <v>101.7</v>
      </c>
      <c r="BV37" s="49">
        <v>101.1</v>
      </c>
      <c r="BW37" s="48">
        <v>104</v>
      </c>
      <c r="BX37" s="12">
        <v>98.9</v>
      </c>
      <c r="BY37" s="144">
        <v>101.8</v>
      </c>
      <c r="BZ37" s="60">
        <v>100.2</v>
      </c>
      <c r="CA37" s="61">
        <v>104.7</v>
      </c>
      <c r="CB37" s="61">
        <v>98.7</v>
      </c>
      <c r="CC37" s="61">
        <v>100.8</v>
      </c>
      <c r="CD37" s="61">
        <v>99.8</v>
      </c>
      <c r="CE37" s="61">
        <v>103.6</v>
      </c>
      <c r="CF37" s="61">
        <v>98.1</v>
      </c>
      <c r="CG37" s="61">
        <v>97.6</v>
      </c>
      <c r="CH37" s="61">
        <v>102.1</v>
      </c>
      <c r="CI37" s="61">
        <v>104.9</v>
      </c>
      <c r="CJ37" s="112">
        <v>98.3</v>
      </c>
      <c r="CK37" s="115">
        <v>99.9</v>
      </c>
      <c r="CL37" s="115">
        <v>100.8</v>
      </c>
      <c r="CM37" s="162"/>
    </row>
    <row r="38" spans="2:91" ht="26.25">
      <c r="B38" s="135" t="s">
        <v>33</v>
      </c>
      <c r="C38" s="127" t="s">
        <v>34</v>
      </c>
      <c r="D38" s="99">
        <v>7549</v>
      </c>
      <c r="E38" s="100">
        <v>7543.8</v>
      </c>
      <c r="F38" s="100">
        <v>7510.7</v>
      </c>
      <c r="G38" s="100">
        <v>7497.2</v>
      </c>
      <c r="H38" s="100">
        <v>7490.6</v>
      </c>
      <c r="I38" s="100">
        <v>7481</v>
      </c>
      <c r="J38" s="100">
        <v>7456.6</v>
      </c>
      <c r="K38" s="100">
        <v>7447.5</v>
      </c>
      <c r="L38" s="100">
        <v>7446.2</v>
      </c>
      <c r="M38" s="100">
        <v>7445.3</v>
      </c>
      <c r="N38" s="100">
        <v>7430.2</v>
      </c>
      <c r="O38" s="100">
        <v>7433.9</v>
      </c>
      <c r="P38" s="100">
        <v>7445.4</v>
      </c>
      <c r="Q38" s="100">
        <v>7451.1</v>
      </c>
      <c r="R38" s="100">
        <v>7450.7</v>
      </c>
      <c r="S38" s="100">
        <v>7456.1</v>
      </c>
      <c r="T38" s="100">
        <v>7484.1</v>
      </c>
      <c r="U38" s="100">
        <v>7508.6</v>
      </c>
      <c r="V38" s="100">
        <v>7506.1</v>
      </c>
      <c r="W38" s="100">
        <v>7515.6</v>
      </c>
      <c r="X38" s="100">
        <v>7525.2</v>
      </c>
      <c r="Y38" s="100">
        <v>7521.5</v>
      </c>
      <c r="Z38" s="100">
        <v>7521.7</v>
      </c>
      <c r="AA38" s="100">
        <v>7527.7</v>
      </c>
      <c r="AB38" s="100">
        <v>7541.3</v>
      </c>
      <c r="AC38" s="100">
        <v>7559.5</v>
      </c>
      <c r="AD38" s="100">
        <v>7568.9</v>
      </c>
      <c r="AE38" s="100">
        <v>7588.9</v>
      </c>
      <c r="AF38" s="100">
        <v>7623.5</v>
      </c>
      <c r="AG38" s="100">
        <v>7654.3</v>
      </c>
      <c r="AH38" s="100">
        <v>7667.1</v>
      </c>
      <c r="AI38" s="100">
        <v>7689.9</v>
      </c>
      <c r="AJ38" s="100">
        <v>7719.7</v>
      </c>
      <c r="AK38" s="100">
        <v>7739.5</v>
      </c>
      <c r="AL38" s="100">
        <v>7810</v>
      </c>
      <c r="AM38" s="100">
        <v>7848.2</v>
      </c>
      <c r="AN38" s="101">
        <v>7888.9</v>
      </c>
      <c r="AO38" s="101">
        <v>7916.7</v>
      </c>
      <c r="AP38" s="101">
        <v>7919.6</v>
      </c>
      <c r="AQ38" s="101">
        <v>7900.6</v>
      </c>
      <c r="AR38" s="101">
        <v>7892.5</v>
      </c>
      <c r="AS38" s="101">
        <v>7883.6</v>
      </c>
      <c r="AT38" s="101">
        <v>7862.8</v>
      </c>
      <c r="AU38" s="101">
        <v>7835.7</v>
      </c>
      <c r="AV38" s="102">
        <v>7828.4</v>
      </c>
      <c r="AW38" s="101">
        <v>7812.1</v>
      </c>
      <c r="AX38" s="101">
        <v>7798.1</v>
      </c>
      <c r="AY38" s="103">
        <v>7748.1</v>
      </c>
      <c r="AZ38" s="101">
        <v>7751.9</v>
      </c>
      <c r="BA38" s="101">
        <v>7743.6</v>
      </c>
      <c r="BB38" s="101">
        <v>7740</v>
      </c>
      <c r="BC38" s="103">
        <v>7731.2</v>
      </c>
      <c r="BD38" s="101">
        <v>7730.9</v>
      </c>
      <c r="BE38" s="101">
        <v>7718.4</v>
      </c>
      <c r="BF38" s="101">
        <v>7696.1</v>
      </c>
      <c r="BG38" s="101">
        <v>7679.2</v>
      </c>
      <c r="BH38" s="101">
        <v>7671.6</v>
      </c>
      <c r="BI38" s="101">
        <v>7656.5</v>
      </c>
      <c r="BJ38" s="101">
        <v>7649.4</v>
      </c>
      <c r="BK38" s="103">
        <v>7657.1</v>
      </c>
      <c r="BL38" s="101">
        <v>7669.9</v>
      </c>
      <c r="BM38" s="101">
        <v>7677.7</v>
      </c>
      <c r="BN38" s="101">
        <v>7675.5</v>
      </c>
      <c r="BO38" s="103">
        <v>7682.8</v>
      </c>
      <c r="BP38" s="101">
        <v>7699.5</v>
      </c>
      <c r="BQ38" s="101">
        <v>7713.9</v>
      </c>
      <c r="BR38" s="101">
        <v>7716.5</v>
      </c>
      <c r="BS38" s="103">
        <v>7728</v>
      </c>
      <c r="BT38" s="101">
        <v>7730.3</v>
      </c>
      <c r="BU38" s="101">
        <v>7730.9</v>
      </c>
      <c r="BV38" s="101">
        <v>7729.3</v>
      </c>
      <c r="BW38" s="101">
        <v>7849</v>
      </c>
      <c r="BX38" s="142">
        <v>7995.6</v>
      </c>
      <c r="BY38" s="142">
        <v>8026.8</v>
      </c>
      <c r="BZ38" s="142">
        <v>8046.1</v>
      </c>
      <c r="CA38" s="150">
        <v>8097.6</v>
      </c>
      <c r="CB38" s="150">
        <v>8123.3</v>
      </c>
      <c r="CC38" s="150">
        <v>8140.2</v>
      </c>
      <c r="CD38" s="150">
        <v>8146.3</v>
      </c>
      <c r="CE38" s="150">
        <v>8200.2999999999993</v>
      </c>
      <c r="CF38" s="150">
        <v>8209.6</v>
      </c>
      <c r="CG38" s="150">
        <v>8227.6</v>
      </c>
      <c r="CH38" s="150">
        <v>8236.1</v>
      </c>
      <c r="CI38" s="150">
        <v>8274.1</v>
      </c>
      <c r="CJ38" s="165">
        <v>8251.2999999999993</v>
      </c>
      <c r="CK38" s="165">
        <v>8236.9</v>
      </c>
      <c r="CL38" s="117">
        <v>8226.2000000000007</v>
      </c>
      <c r="CM38" s="163"/>
    </row>
    <row r="39" spans="2:91" ht="26.25">
      <c r="B39" s="135" t="s">
        <v>35</v>
      </c>
      <c r="C39" s="127" t="s">
        <v>10</v>
      </c>
      <c r="D39" s="104">
        <v>849.89</v>
      </c>
      <c r="E39" s="105">
        <v>863.9</v>
      </c>
      <c r="F39" s="105">
        <v>892.49</v>
      </c>
      <c r="G39" s="105">
        <v>895.8</v>
      </c>
      <c r="H39" s="105">
        <v>900.14</v>
      </c>
      <c r="I39" s="105">
        <v>940.07</v>
      </c>
      <c r="J39" s="105">
        <v>1021.47</v>
      </c>
      <c r="K39" s="105">
        <v>1026.01</v>
      </c>
      <c r="L39" s="105">
        <v>1029.94</v>
      </c>
      <c r="M39" s="105">
        <v>1034.8900000000001</v>
      </c>
      <c r="N39" s="105">
        <v>1043.8499999999999</v>
      </c>
      <c r="O39" s="105">
        <v>1048.71</v>
      </c>
      <c r="P39" s="105">
        <v>1064.73</v>
      </c>
      <c r="Q39" s="105">
        <v>1095.32</v>
      </c>
      <c r="R39" s="105">
        <v>1100.5899999999999</v>
      </c>
      <c r="S39" s="105">
        <v>1109.07</v>
      </c>
      <c r="T39" s="105">
        <v>1123.51</v>
      </c>
      <c r="U39" s="105">
        <v>1139.93</v>
      </c>
      <c r="V39" s="105">
        <v>1144.4000000000001</v>
      </c>
      <c r="W39" s="105">
        <v>1155.8399999999999</v>
      </c>
      <c r="X39" s="105" t="s">
        <v>36</v>
      </c>
      <c r="Y39" s="105" t="s">
        <v>37</v>
      </c>
      <c r="Z39" s="105" t="s">
        <v>38</v>
      </c>
      <c r="AA39" s="105" t="s">
        <v>39</v>
      </c>
      <c r="AB39" s="105">
        <v>1213.0999999999999</v>
      </c>
      <c r="AC39" s="105">
        <v>1271.1300000000001</v>
      </c>
      <c r="AD39" s="105">
        <v>1276.45</v>
      </c>
      <c r="AE39" s="105">
        <v>1282.4100000000001</v>
      </c>
      <c r="AF39" s="105">
        <v>1288.27</v>
      </c>
      <c r="AG39" s="105">
        <v>1296.74</v>
      </c>
      <c r="AH39" s="105">
        <v>1302.28</v>
      </c>
      <c r="AI39" s="105">
        <v>1307.92</v>
      </c>
      <c r="AJ39" s="105">
        <v>1346.76</v>
      </c>
      <c r="AK39" s="105">
        <v>1433.44</v>
      </c>
      <c r="AL39" s="105">
        <v>1444.07</v>
      </c>
      <c r="AM39" s="105">
        <v>1449.48</v>
      </c>
      <c r="AN39" s="106">
        <v>1486.37</v>
      </c>
      <c r="AO39" s="106">
        <v>1557.11</v>
      </c>
      <c r="AP39" s="106">
        <v>1559.94</v>
      </c>
      <c r="AQ39" s="106">
        <v>1566.94</v>
      </c>
      <c r="AR39" s="106">
        <v>1595.29</v>
      </c>
      <c r="AS39" s="106">
        <v>1652.07</v>
      </c>
      <c r="AT39" s="106">
        <v>1657.92</v>
      </c>
      <c r="AU39" s="106">
        <v>1666.61</v>
      </c>
      <c r="AV39" s="107">
        <v>1690.48</v>
      </c>
      <c r="AW39" s="106">
        <v>1735.03</v>
      </c>
      <c r="AX39" s="106">
        <v>1738.45</v>
      </c>
      <c r="AY39" s="108">
        <v>1745.33</v>
      </c>
      <c r="AZ39" s="106">
        <v>1775.07</v>
      </c>
      <c r="BA39" s="106">
        <v>1832.96</v>
      </c>
      <c r="BB39" s="106">
        <v>1834.59</v>
      </c>
      <c r="BC39" s="108">
        <v>1841.31</v>
      </c>
      <c r="BD39" s="106">
        <v>1877.38</v>
      </c>
      <c r="BE39" s="106">
        <v>1930.18</v>
      </c>
      <c r="BF39" s="106">
        <v>1934.81</v>
      </c>
      <c r="BG39" s="106">
        <v>1942.82</v>
      </c>
      <c r="BH39" s="106">
        <v>1959.26</v>
      </c>
      <c r="BI39" s="106">
        <v>2003.18</v>
      </c>
      <c r="BJ39" s="106">
        <v>2000.01</v>
      </c>
      <c r="BK39" s="108">
        <v>2002.18</v>
      </c>
      <c r="BL39" s="106">
        <v>2020.29</v>
      </c>
      <c r="BM39" s="106">
        <v>2050.5700000000002</v>
      </c>
      <c r="BN39" s="106">
        <v>2058.4299999999998</v>
      </c>
      <c r="BO39" s="108">
        <v>2067.69</v>
      </c>
      <c r="BP39" s="106">
        <v>2074.88</v>
      </c>
      <c r="BQ39" s="106">
        <v>2083.89</v>
      </c>
      <c r="BR39" s="106">
        <v>2090.1799999999998</v>
      </c>
      <c r="BS39" s="108">
        <v>2096.41</v>
      </c>
      <c r="BT39" s="106">
        <v>2109.4699999999998</v>
      </c>
      <c r="BU39" s="106">
        <v>2129.56</v>
      </c>
      <c r="BV39" s="106">
        <v>2138.83</v>
      </c>
      <c r="BW39" s="106">
        <v>2173.7199999999998</v>
      </c>
      <c r="BX39" s="139">
        <v>2183.64</v>
      </c>
      <c r="BY39" s="139">
        <v>2225.02</v>
      </c>
      <c r="BZ39" s="139">
        <v>2236.0100000000002</v>
      </c>
      <c r="CA39" s="151">
        <v>2242.5700000000002</v>
      </c>
      <c r="CB39" s="151">
        <v>2273.6</v>
      </c>
      <c r="CC39" s="151">
        <v>2336.77</v>
      </c>
      <c r="CD39" s="151">
        <v>2348.5300000000002</v>
      </c>
      <c r="CE39" s="151">
        <v>2352.44</v>
      </c>
      <c r="CF39" s="151">
        <v>2393.39</v>
      </c>
      <c r="CG39" s="151">
        <v>2457.6999999999998</v>
      </c>
      <c r="CH39" s="151">
        <v>2480.83</v>
      </c>
      <c r="CI39" s="151">
        <v>2487.98</v>
      </c>
      <c r="CJ39" s="166">
        <v>2569.42</v>
      </c>
      <c r="CK39" s="85">
        <v>2618.17</v>
      </c>
      <c r="CL39" s="156">
        <v>2643.2</v>
      </c>
      <c r="CM39" s="162"/>
    </row>
    <row r="40" spans="2:91">
      <c r="B40" s="126"/>
      <c r="C40" s="127" t="s">
        <v>11</v>
      </c>
      <c r="D40" s="17">
        <v>100.4</v>
      </c>
      <c r="E40" s="3">
        <v>108.7</v>
      </c>
      <c r="F40" s="3">
        <v>105.8</v>
      </c>
      <c r="G40" s="3">
        <v>105.8</v>
      </c>
      <c r="H40" s="3">
        <v>105.9</v>
      </c>
      <c r="I40" s="3">
        <v>108.8</v>
      </c>
      <c r="J40" s="3">
        <v>114.5</v>
      </c>
      <c r="K40" s="3">
        <v>114.5</v>
      </c>
      <c r="L40" s="3">
        <v>114.4</v>
      </c>
      <c r="M40" s="3">
        <v>110.1</v>
      </c>
      <c r="N40" s="3">
        <v>102.2</v>
      </c>
      <c r="O40" s="3">
        <v>102.2</v>
      </c>
      <c r="P40" s="3">
        <v>103.4</v>
      </c>
      <c r="Q40" s="3">
        <v>105.8</v>
      </c>
      <c r="R40" s="3">
        <v>105.4</v>
      </c>
      <c r="S40" s="3">
        <v>105.8</v>
      </c>
      <c r="T40" s="3">
        <v>105.5</v>
      </c>
      <c r="U40" s="3">
        <v>104.1</v>
      </c>
      <c r="V40" s="3">
        <v>104</v>
      </c>
      <c r="W40" s="3">
        <v>104.2</v>
      </c>
      <c r="X40" s="3">
        <v>103.3</v>
      </c>
      <c r="Y40" s="3">
        <v>102.5</v>
      </c>
      <c r="Z40" s="3">
        <v>102.6</v>
      </c>
      <c r="AA40" s="3">
        <v>102.1</v>
      </c>
      <c r="AB40" s="3">
        <v>104.6</v>
      </c>
      <c r="AC40" s="3">
        <v>108.7</v>
      </c>
      <c r="AD40" s="3">
        <v>108.7</v>
      </c>
      <c r="AE40" s="3">
        <v>108.7</v>
      </c>
      <c r="AF40" s="3">
        <v>106.2</v>
      </c>
      <c r="AG40" s="3">
        <v>102</v>
      </c>
      <c r="AH40" s="3">
        <v>102</v>
      </c>
      <c r="AI40" s="3">
        <v>102</v>
      </c>
      <c r="AJ40" s="3">
        <v>104.5</v>
      </c>
      <c r="AK40" s="3">
        <v>110.5</v>
      </c>
      <c r="AL40" s="3">
        <v>110.9</v>
      </c>
      <c r="AM40" s="3">
        <v>110.8</v>
      </c>
      <c r="AN40" s="8">
        <v>110.4</v>
      </c>
      <c r="AO40" s="8">
        <v>108.6</v>
      </c>
      <c r="AP40" s="8">
        <v>108</v>
      </c>
      <c r="AQ40" s="8">
        <v>108.1</v>
      </c>
      <c r="AR40" s="8">
        <v>107.3</v>
      </c>
      <c r="AS40" s="37">
        <v>106.1</v>
      </c>
      <c r="AT40" s="8">
        <v>106.3</v>
      </c>
      <c r="AU40" s="37">
        <v>106.4</v>
      </c>
      <c r="AV40" s="19">
        <v>106</v>
      </c>
      <c r="AW40" s="8">
        <v>105</v>
      </c>
      <c r="AX40" s="8">
        <v>104.9</v>
      </c>
      <c r="AY40" s="73">
        <v>104.7</v>
      </c>
      <c r="AZ40" s="8">
        <v>105</v>
      </c>
      <c r="BA40" s="8">
        <v>105.6</v>
      </c>
      <c r="BB40" s="8">
        <v>105.5</v>
      </c>
      <c r="BC40" s="73">
        <v>105.5</v>
      </c>
      <c r="BD40" s="8">
        <v>105.8</v>
      </c>
      <c r="BE40" s="8">
        <v>105.3</v>
      </c>
      <c r="BF40" s="8">
        <v>105.5</v>
      </c>
      <c r="BG40" s="37">
        <v>105.5</v>
      </c>
      <c r="BH40" s="8">
        <v>104.4</v>
      </c>
      <c r="BI40" s="8">
        <v>103.8</v>
      </c>
      <c r="BJ40" s="8">
        <v>103.4</v>
      </c>
      <c r="BK40" s="73">
        <v>103.1</v>
      </c>
      <c r="BL40" s="8">
        <v>103.1</v>
      </c>
      <c r="BM40" s="8">
        <v>102.4</v>
      </c>
      <c r="BN40" s="8">
        <v>102.9</v>
      </c>
      <c r="BO40" s="73">
        <v>103.3</v>
      </c>
      <c r="BP40" s="8">
        <v>102.7</v>
      </c>
      <c r="BQ40" s="8">
        <v>101.6</v>
      </c>
      <c r="BR40" s="8">
        <v>101.5</v>
      </c>
      <c r="BS40" s="73">
        <v>101.4</v>
      </c>
      <c r="BT40" s="8">
        <v>101.7</v>
      </c>
      <c r="BU40" s="8">
        <v>102.2</v>
      </c>
      <c r="BV40" s="8">
        <v>102.3</v>
      </c>
      <c r="BW40" s="37">
        <v>103.7</v>
      </c>
      <c r="BX40" s="140">
        <v>103.5</v>
      </c>
      <c r="BY40" s="140">
        <v>104.5</v>
      </c>
      <c r="BZ40" s="140">
        <v>104.5</v>
      </c>
      <c r="CA40" s="152">
        <v>103.2</v>
      </c>
      <c r="CB40" s="152">
        <v>104.1</v>
      </c>
      <c r="CC40" s="152">
        <v>105</v>
      </c>
      <c r="CD40" s="152">
        <v>105</v>
      </c>
      <c r="CE40" s="152">
        <v>104.9</v>
      </c>
      <c r="CF40" s="152">
        <v>105.3</v>
      </c>
      <c r="CG40" s="152">
        <v>105.2</v>
      </c>
      <c r="CH40" s="152">
        <v>105.6</v>
      </c>
      <c r="CI40" s="152">
        <v>105.8</v>
      </c>
      <c r="CJ40" s="112">
        <v>107.4</v>
      </c>
      <c r="CK40" s="6">
        <v>106.5</v>
      </c>
      <c r="CL40" s="117">
        <v>106.5</v>
      </c>
      <c r="CM40" s="163"/>
    </row>
    <row r="41" spans="2:91" ht="15.75">
      <c r="B41" s="126"/>
      <c r="C41" s="127" t="s">
        <v>12</v>
      </c>
      <c r="D41" s="17">
        <v>110.4</v>
      </c>
      <c r="E41" s="3">
        <v>109.5</v>
      </c>
      <c r="F41" s="3">
        <v>108.2</v>
      </c>
      <c r="G41" s="3">
        <v>107.6</v>
      </c>
      <c r="H41" s="3">
        <v>105.9</v>
      </c>
      <c r="I41" s="3">
        <v>107.4</v>
      </c>
      <c r="J41" s="3">
        <v>109.8</v>
      </c>
      <c r="K41" s="3">
        <v>111</v>
      </c>
      <c r="L41" s="3">
        <v>114.4</v>
      </c>
      <c r="M41" s="3">
        <v>112.2</v>
      </c>
      <c r="N41" s="3">
        <v>108.6</v>
      </c>
      <c r="O41" s="3">
        <v>106.9</v>
      </c>
      <c r="P41" s="3">
        <v>103.4</v>
      </c>
      <c r="Q41" s="3">
        <v>104.6</v>
      </c>
      <c r="R41" s="3">
        <v>104.9</v>
      </c>
      <c r="S41" s="3">
        <v>105.1</v>
      </c>
      <c r="T41" s="3">
        <v>105.5</v>
      </c>
      <c r="U41" s="3">
        <v>104.8</v>
      </c>
      <c r="V41" s="3">
        <v>104.5</v>
      </c>
      <c r="W41" s="3">
        <v>104.4</v>
      </c>
      <c r="X41" s="3">
        <v>103.3</v>
      </c>
      <c r="Y41" s="3">
        <v>102.9</v>
      </c>
      <c r="Z41" s="3">
        <v>102.8</v>
      </c>
      <c r="AA41" s="3">
        <v>102.6</v>
      </c>
      <c r="AB41" s="3">
        <v>104.6</v>
      </c>
      <c r="AC41" s="3">
        <v>106.7</v>
      </c>
      <c r="AD41" s="3">
        <v>107.4</v>
      </c>
      <c r="AE41" s="3">
        <v>107.7</v>
      </c>
      <c r="AF41" s="3">
        <v>106.2</v>
      </c>
      <c r="AG41" s="3">
        <v>104.1</v>
      </c>
      <c r="AH41" s="3">
        <v>103.4</v>
      </c>
      <c r="AI41" s="3">
        <v>103</v>
      </c>
      <c r="AJ41" s="3">
        <v>104.5</v>
      </c>
      <c r="AK41" s="3">
        <v>107.6</v>
      </c>
      <c r="AL41" s="3">
        <v>108.7</v>
      </c>
      <c r="AM41" s="3">
        <v>109.2</v>
      </c>
      <c r="AN41" s="8">
        <v>110.4</v>
      </c>
      <c r="AO41" s="8">
        <v>109.5</v>
      </c>
      <c r="AP41" s="8">
        <v>109</v>
      </c>
      <c r="AQ41" s="8">
        <v>108.7</v>
      </c>
      <c r="AR41" s="8">
        <v>107.3</v>
      </c>
      <c r="AS41" s="37">
        <v>106.7</v>
      </c>
      <c r="AT41" s="8">
        <v>106.6</v>
      </c>
      <c r="AU41" s="37">
        <v>106.5</v>
      </c>
      <c r="AV41" s="19">
        <v>106</v>
      </c>
      <c r="AW41" s="37">
        <v>105.5</v>
      </c>
      <c r="AX41" s="8">
        <v>105.3</v>
      </c>
      <c r="AY41" s="73">
        <v>105.2</v>
      </c>
      <c r="AZ41" s="8">
        <v>105</v>
      </c>
      <c r="BA41" s="37">
        <v>105.3</v>
      </c>
      <c r="BB41" s="8">
        <v>105.4</v>
      </c>
      <c r="BC41" s="73">
        <v>105.4</v>
      </c>
      <c r="BD41" s="8">
        <v>105.8</v>
      </c>
      <c r="BE41" s="37">
        <v>105.5</v>
      </c>
      <c r="BF41" s="8">
        <v>105.5</v>
      </c>
      <c r="BG41" s="37">
        <v>105.5</v>
      </c>
      <c r="BH41" s="8">
        <v>104.4</v>
      </c>
      <c r="BI41" s="37">
        <v>104.1</v>
      </c>
      <c r="BJ41" s="8">
        <v>103.8</v>
      </c>
      <c r="BK41" s="73">
        <v>103.6</v>
      </c>
      <c r="BL41" s="8">
        <v>103.1</v>
      </c>
      <c r="BM41" s="37">
        <v>102.7</v>
      </c>
      <c r="BN41" s="8">
        <v>102.8</v>
      </c>
      <c r="BO41" s="73">
        <v>102.9</v>
      </c>
      <c r="BP41" s="8">
        <v>102.7</v>
      </c>
      <c r="BQ41" s="37">
        <v>102.2</v>
      </c>
      <c r="BR41" s="8">
        <v>102</v>
      </c>
      <c r="BS41" s="73">
        <v>101.8</v>
      </c>
      <c r="BT41" s="8">
        <v>101.7</v>
      </c>
      <c r="BU41" s="37">
        <v>101.9</v>
      </c>
      <c r="BV41" s="8">
        <v>102.1</v>
      </c>
      <c r="BW41" s="37">
        <v>102.5</v>
      </c>
      <c r="BX41" s="140">
        <v>103.5</v>
      </c>
      <c r="BY41" s="140">
        <v>104</v>
      </c>
      <c r="BZ41" s="140">
        <v>104.2</v>
      </c>
      <c r="CA41" s="152">
        <v>103.9</v>
      </c>
      <c r="CB41" s="152">
        <v>104.1</v>
      </c>
      <c r="CC41" s="152">
        <v>104.6</v>
      </c>
      <c r="CD41" s="152">
        <v>104.7</v>
      </c>
      <c r="CE41" s="152">
        <v>104.7</v>
      </c>
      <c r="CF41" s="152">
        <v>105.3</v>
      </c>
      <c r="CG41" s="152">
        <v>105.2</v>
      </c>
      <c r="CH41" s="152">
        <v>105.4</v>
      </c>
      <c r="CI41" s="152">
        <v>105.5</v>
      </c>
      <c r="CJ41" s="112">
        <v>107.4</v>
      </c>
      <c r="CK41" s="6">
        <v>106.9</v>
      </c>
      <c r="CL41" s="117">
        <v>106.8</v>
      </c>
      <c r="CM41" s="163"/>
    </row>
    <row r="42" spans="2:91">
      <c r="B42" s="126"/>
      <c r="C42" s="127" t="s">
        <v>13</v>
      </c>
      <c r="D42" s="17">
        <v>100.4</v>
      </c>
      <c r="E42" s="3">
        <v>101.6</v>
      </c>
      <c r="F42" s="3">
        <v>103.3</v>
      </c>
      <c r="G42" s="3">
        <v>100.4</v>
      </c>
      <c r="H42" s="3">
        <v>100.5</v>
      </c>
      <c r="I42" s="3">
        <v>104.4</v>
      </c>
      <c r="J42" s="3">
        <v>108.7</v>
      </c>
      <c r="K42" s="3">
        <v>100.4</v>
      </c>
      <c r="L42" s="3">
        <v>100.4</v>
      </c>
      <c r="M42" s="3">
        <v>100.5</v>
      </c>
      <c r="N42" s="3">
        <v>100.9</v>
      </c>
      <c r="O42" s="3">
        <v>100.5</v>
      </c>
      <c r="P42" s="3">
        <v>101.5</v>
      </c>
      <c r="Q42" s="3">
        <v>102.9</v>
      </c>
      <c r="R42" s="3">
        <v>100.5</v>
      </c>
      <c r="S42" s="3">
        <v>100.8</v>
      </c>
      <c r="T42" s="3">
        <v>101.3</v>
      </c>
      <c r="U42" s="3">
        <v>101.5</v>
      </c>
      <c r="V42" s="3">
        <v>100.4</v>
      </c>
      <c r="W42" s="3">
        <v>101</v>
      </c>
      <c r="X42" s="3">
        <v>100.4</v>
      </c>
      <c r="Y42" s="3">
        <v>100.8</v>
      </c>
      <c r="Z42" s="3">
        <v>100.5</v>
      </c>
      <c r="AA42" s="3">
        <v>100.5</v>
      </c>
      <c r="AB42" s="3">
        <v>102.8</v>
      </c>
      <c r="AC42" s="3">
        <v>104.8</v>
      </c>
      <c r="AD42" s="3">
        <v>100.4</v>
      </c>
      <c r="AE42" s="3">
        <v>100.5</v>
      </c>
      <c r="AF42" s="3">
        <v>100.5</v>
      </c>
      <c r="AG42" s="3">
        <v>100.7</v>
      </c>
      <c r="AH42" s="3">
        <v>100.4</v>
      </c>
      <c r="AI42" s="3">
        <v>100.4</v>
      </c>
      <c r="AJ42" s="3">
        <v>103</v>
      </c>
      <c r="AK42" s="3">
        <v>106.4</v>
      </c>
      <c r="AL42" s="3">
        <v>100.7</v>
      </c>
      <c r="AM42" s="3">
        <v>100.4</v>
      </c>
      <c r="AN42" s="8">
        <v>102.5</v>
      </c>
      <c r="AO42" s="8">
        <v>104.8</v>
      </c>
      <c r="AP42" s="8">
        <v>100.2</v>
      </c>
      <c r="AQ42" s="8">
        <v>100.4</v>
      </c>
      <c r="AR42" s="8">
        <v>101.8</v>
      </c>
      <c r="AS42" s="37">
        <v>103.6</v>
      </c>
      <c r="AT42" s="37">
        <v>100.4</v>
      </c>
      <c r="AU42" s="37">
        <v>100.5</v>
      </c>
      <c r="AV42" s="19">
        <v>101.4</v>
      </c>
      <c r="AW42" s="37">
        <v>102.6</v>
      </c>
      <c r="AX42" s="37">
        <v>100.2</v>
      </c>
      <c r="AY42" s="73">
        <v>100.4</v>
      </c>
      <c r="AZ42" s="8">
        <v>101.7</v>
      </c>
      <c r="BA42" s="37">
        <v>103.3</v>
      </c>
      <c r="BB42" s="37">
        <v>100.1</v>
      </c>
      <c r="BC42" s="73">
        <v>100.4</v>
      </c>
      <c r="BD42" s="8">
        <v>102</v>
      </c>
      <c r="BE42" s="37">
        <v>102.8</v>
      </c>
      <c r="BF42" s="37">
        <v>100.3</v>
      </c>
      <c r="BG42" s="37">
        <v>100.4</v>
      </c>
      <c r="BH42" s="8">
        <v>100.8</v>
      </c>
      <c r="BI42" s="37">
        <v>102.2</v>
      </c>
      <c r="BJ42" s="37">
        <v>99.8</v>
      </c>
      <c r="BK42" s="73">
        <v>100.1</v>
      </c>
      <c r="BL42" s="8">
        <v>100.9</v>
      </c>
      <c r="BM42" s="37">
        <v>101.5</v>
      </c>
      <c r="BN42" s="37">
        <v>100.4</v>
      </c>
      <c r="BO42" s="73">
        <v>100.5</v>
      </c>
      <c r="BP42" s="8">
        <v>100.3</v>
      </c>
      <c r="BQ42" s="37">
        <v>100.4</v>
      </c>
      <c r="BR42" s="37">
        <v>100.3</v>
      </c>
      <c r="BS42" s="73">
        <v>100.3</v>
      </c>
      <c r="BT42" s="8">
        <v>100.6</v>
      </c>
      <c r="BU42" s="8">
        <v>101</v>
      </c>
      <c r="BV42" s="37">
        <v>100.4</v>
      </c>
      <c r="BW42" s="37">
        <v>101.6</v>
      </c>
      <c r="BX42" s="140">
        <v>100.5</v>
      </c>
      <c r="BY42" s="140">
        <v>101.9</v>
      </c>
      <c r="BZ42" s="141">
        <v>100.5</v>
      </c>
      <c r="CA42" s="152">
        <v>100.3</v>
      </c>
      <c r="CB42" s="152">
        <v>101.4</v>
      </c>
      <c r="CC42" s="152">
        <v>102.8</v>
      </c>
      <c r="CD42" s="152">
        <v>100.5</v>
      </c>
      <c r="CE42" s="152">
        <v>100.2</v>
      </c>
      <c r="CF42" s="152">
        <v>101.7</v>
      </c>
      <c r="CG42" s="152">
        <v>102.7</v>
      </c>
      <c r="CH42" s="152">
        <v>100.9</v>
      </c>
      <c r="CI42" s="152">
        <v>100.3</v>
      </c>
      <c r="CJ42" s="112">
        <v>103.3</v>
      </c>
      <c r="CK42" s="6">
        <v>101.9</v>
      </c>
      <c r="CL42" s="117">
        <v>101</v>
      </c>
      <c r="CM42" s="163"/>
    </row>
    <row r="43" spans="2:91" ht="26.25">
      <c r="B43" s="135" t="s">
        <v>40</v>
      </c>
      <c r="C43" s="127" t="s">
        <v>11</v>
      </c>
      <c r="D43" s="17">
        <v>100.4</v>
      </c>
      <c r="E43" s="3">
        <v>98.9</v>
      </c>
      <c r="F43" s="3">
        <v>95.2</v>
      </c>
      <c r="G43" s="3">
        <v>96.7</v>
      </c>
      <c r="H43" s="3">
        <v>99</v>
      </c>
      <c r="I43" s="3">
        <v>101.5</v>
      </c>
      <c r="J43" s="3">
        <v>108.5</v>
      </c>
      <c r="K43" s="3">
        <v>109.8</v>
      </c>
      <c r="L43" s="3">
        <v>110.1</v>
      </c>
      <c r="M43" s="3">
        <v>107.5</v>
      </c>
      <c r="N43" s="3">
        <v>100.8</v>
      </c>
      <c r="O43" s="3">
        <v>101.1</v>
      </c>
      <c r="P43" s="3">
        <v>102.9</v>
      </c>
      <c r="Q43" s="3">
        <v>105.3</v>
      </c>
      <c r="R43" s="3">
        <v>104.3</v>
      </c>
      <c r="S43" s="3">
        <v>103.9</v>
      </c>
      <c r="T43" s="3">
        <v>103.5</v>
      </c>
      <c r="U43" s="3">
        <v>100.4</v>
      </c>
      <c r="V43" s="3">
        <v>99</v>
      </c>
      <c r="W43" s="3">
        <v>99.5</v>
      </c>
      <c r="X43" s="3">
        <v>99.4</v>
      </c>
      <c r="Y43" s="3">
        <v>100</v>
      </c>
      <c r="Z43" s="3">
        <v>100.9</v>
      </c>
      <c r="AA43" s="3">
        <v>100.8</v>
      </c>
      <c r="AB43" s="3">
        <v>103.7</v>
      </c>
      <c r="AC43" s="3">
        <v>107.4</v>
      </c>
      <c r="AD43" s="3">
        <v>106.8</v>
      </c>
      <c r="AE43" s="3">
        <v>106.7</v>
      </c>
      <c r="AF43" s="3">
        <v>103.6</v>
      </c>
      <c r="AG43" s="3">
        <v>99.2</v>
      </c>
      <c r="AH43" s="3">
        <v>99.5</v>
      </c>
      <c r="AI43" s="3">
        <v>98.1</v>
      </c>
      <c r="AJ43" s="3">
        <v>99.8</v>
      </c>
      <c r="AK43" s="3">
        <v>105.2</v>
      </c>
      <c r="AL43" s="3">
        <v>105.2</v>
      </c>
      <c r="AM43" s="3">
        <v>105.9</v>
      </c>
      <c r="AN43" s="8">
        <v>105.7</v>
      </c>
      <c r="AO43" s="8">
        <v>103.7</v>
      </c>
      <c r="AP43" s="8">
        <v>103.6</v>
      </c>
      <c r="AQ43" s="8">
        <v>104.3</v>
      </c>
      <c r="AR43" s="8">
        <v>104.2</v>
      </c>
      <c r="AS43" s="37">
        <v>103.7</v>
      </c>
      <c r="AT43" s="37">
        <v>103.6</v>
      </c>
      <c r="AU43" s="37">
        <v>102.9</v>
      </c>
      <c r="AV43" s="19">
        <v>101.5</v>
      </c>
      <c r="AW43" s="37">
        <v>99.8</v>
      </c>
      <c r="AX43" s="37">
        <v>100.4</v>
      </c>
      <c r="AY43" s="73">
        <v>99.7</v>
      </c>
      <c r="AZ43" s="8">
        <v>100.6</v>
      </c>
      <c r="BA43" s="37">
        <v>101.2</v>
      </c>
      <c r="BB43" s="37">
        <v>101.2</v>
      </c>
      <c r="BC43" s="73">
        <v>102.2</v>
      </c>
      <c r="BD43" s="8">
        <v>104.2</v>
      </c>
      <c r="BE43" s="37">
        <v>104.7</v>
      </c>
      <c r="BF43" s="8">
        <v>104</v>
      </c>
      <c r="BG43" s="37">
        <v>104.5</v>
      </c>
      <c r="BH43" s="8">
        <v>103.4</v>
      </c>
      <c r="BI43" s="37">
        <v>103.4</v>
      </c>
      <c r="BJ43" s="8">
        <v>103.8</v>
      </c>
      <c r="BK43" s="59">
        <v>104</v>
      </c>
      <c r="BL43" s="8">
        <v>104.6</v>
      </c>
      <c r="BM43" s="37">
        <v>103.1</v>
      </c>
      <c r="BN43" s="8">
        <v>103.1</v>
      </c>
      <c r="BO43" s="59">
        <v>103.4</v>
      </c>
      <c r="BP43" s="8">
        <v>103.2</v>
      </c>
      <c r="BQ43" s="37">
        <v>102.3</v>
      </c>
      <c r="BR43" s="8">
        <v>102.2</v>
      </c>
      <c r="BS43" s="59">
        <v>101.3</v>
      </c>
      <c r="BT43" s="8">
        <v>99.8</v>
      </c>
      <c r="BU43" s="37">
        <v>100.2</v>
      </c>
      <c r="BV43" s="8">
        <v>100</v>
      </c>
      <c r="BW43" s="8">
        <v>100.8</v>
      </c>
      <c r="BX43" s="140">
        <v>101.5</v>
      </c>
      <c r="BY43" s="141">
        <v>102.6</v>
      </c>
      <c r="BZ43" s="140">
        <v>102.6</v>
      </c>
      <c r="CA43" s="153">
        <v>102</v>
      </c>
      <c r="CB43" s="153">
        <v>102.9</v>
      </c>
      <c r="CC43" s="153">
        <v>102.3</v>
      </c>
      <c r="CD43" s="153">
        <v>101.7</v>
      </c>
      <c r="CE43" s="153">
        <v>101.6</v>
      </c>
      <c r="CF43" s="153">
        <v>100.2</v>
      </c>
      <c r="CG43" s="153">
        <v>101.2</v>
      </c>
      <c r="CH43" s="153">
        <v>102</v>
      </c>
      <c r="CI43" s="153">
        <v>102.5</v>
      </c>
      <c r="CJ43" s="112">
        <v>104.5</v>
      </c>
      <c r="CK43" s="6">
        <v>102.4</v>
      </c>
      <c r="CL43" s="117">
        <v>101.3</v>
      </c>
      <c r="CM43" s="163"/>
    </row>
    <row r="44" spans="2:91" ht="15.75">
      <c r="B44" s="126"/>
      <c r="C44" s="127" t="s">
        <v>12</v>
      </c>
      <c r="D44" s="17">
        <v>100.4</v>
      </c>
      <c r="E44" s="3">
        <v>99.5</v>
      </c>
      <c r="F44" s="3">
        <v>98.1</v>
      </c>
      <c r="G44" s="3">
        <v>97.7</v>
      </c>
      <c r="H44" s="3">
        <v>99</v>
      </c>
      <c r="I44" s="3">
        <v>100.3</v>
      </c>
      <c r="J44" s="3">
        <v>103</v>
      </c>
      <c r="K44" s="3">
        <v>104.7</v>
      </c>
      <c r="L44" s="3">
        <v>110.1</v>
      </c>
      <c r="M44" s="3">
        <v>108.8</v>
      </c>
      <c r="N44" s="3">
        <v>106</v>
      </c>
      <c r="O44" s="3">
        <v>104.6</v>
      </c>
      <c r="P44" s="3">
        <v>102.9</v>
      </c>
      <c r="Q44" s="3">
        <v>104.1</v>
      </c>
      <c r="R44" s="3">
        <v>104.2</v>
      </c>
      <c r="S44" s="3">
        <v>104.1</v>
      </c>
      <c r="T44" s="3">
        <v>103.5</v>
      </c>
      <c r="U44" s="3">
        <v>101.9</v>
      </c>
      <c r="V44" s="3">
        <v>101</v>
      </c>
      <c r="W44" s="3">
        <v>100.6</v>
      </c>
      <c r="X44" s="3">
        <v>99.4</v>
      </c>
      <c r="Y44" s="3">
        <v>99.7</v>
      </c>
      <c r="Z44" s="3">
        <v>100.1</v>
      </c>
      <c r="AA44" s="3">
        <v>100.3</v>
      </c>
      <c r="AB44" s="3">
        <v>103.7</v>
      </c>
      <c r="AC44" s="3">
        <v>105.5</v>
      </c>
      <c r="AD44" s="3">
        <v>106</v>
      </c>
      <c r="AE44" s="3">
        <v>106.2</v>
      </c>
      <c r="AF44" s="3">
        <v>103.6</v>
      </c>
      <c r="AG44" s="3">
        <v>101.4</v>
      </c>
      <c r="AH44" s="3">
        <v>100.8</v>
      </c>
      <c r="AI44" s="3">
        <v>100</v>
      </c>
      <c r="AJ44" s="3">
        <v>99.8</v>
      </c>
      <c r="AK44" s="3">
        <v>102.6</v>
      </c>
      <c r="AL44" s="3">
        <v>103.5</v>
      </c>
      <c r="AM44" s="3">
        <v>104.1</v>
      </c>
      <c r="AN44" s="8">
        <v>105.7</v>
      </c>
      <c r="AO44" s="8">
        <v>104.8</v>
      </c>
      <c r="AP44" s="8">
        <v>104.4</v>
      </c>
      <c r="AQ44" s="8">
        <v>104.3</v>
      </c>
      <c r="AR44" s="8">
        <v>104.2</v>
      </c>
      <c r="AS44" s="8">
        <v>104</v>
      </c>
      <c r="AT44" s="37">
        <v>103.9</v>
      </c>
      <c r="AU44" s="37">
        <v>103.6</v>
      </c>
      <c r="AV44" s="19">
        <v>101.5</v>
      </c>
      <c r="AW44" s="8">
        <v>100.7</v>
      </c>
      <c r="AX44" s="37">
        <v>100.6</v>
      </c>
      <c r="AY44" s="73">
        <v>100.4</v>
      </c>
      <c r="AZ44" s="8">
        <v>100.6</v>
      </c>
      <c r="BA44" s="8">
        <v>100.9</v>
      </c>
      <c r="BB44" s="37">
        <v>101.1</v>
      </c>
      <c r="BC44" s="73">
        <v>101.3</v>
      </c>
      <c r="BD44" s="8">
        <v>104.2</v>
      </c>
      <c r="BE44" s="8">
        <v>104.4</v>
      </c>
      <c r="BF44" s="8">
        <v>104.2</v>
      </c>
      <c r="BG44" s="37">
        <v>104.4</v>
      </c>
      <c r="BH44" s="8">
        <v>103.4</v>
      </c>
      <c r="BI44" s="8">
        <v>103.4</v>
      </c>
      <c r="BJ44" s="8">
        <v>103.5</v>
      </c>
      <c r="BK44" s="73">
        <v>103.6</v>
      </c>
      <c r="BL44" s="8">
        <v>104.6</v>
      </c>
      <c r="BM44" s="8">
        <v>103.7</v>
      </c>
      <c r="BN44" s="8">
        <v>103.6</v>
      </c>
      <c r="BO44" s="73">
        <v>103.5</v>
      </c>
      <c r="BP44" s="8">
        <v>103.2</v>
      </c>
      <c r="BQ44" s="8">
        <v>102.8</v>
      </c>
      <c r="BR44" s="8">
        <v>102.6</v>
      </c>
      <c r="BS44" s="73">
        <v>102.2</v>
      </c>
      <c r="BT44" s="8">
        <v>99.8</v>
      </c>
      <c r="BU44" s="8">
        <v>100</v>
      </c>
      <c r="BV44" s="8">
        <v>100</v>
      </c>
      <c r="BW44" s="37">
        <v>100.2</v>
      </c>
      <c r="BX44" s="140">
        <v>101.5</v>
      </c>
      <c r="BY44" s="140">
        <v>102</v>
      </c>
      <c r="BZ44" s="140">
        <v>102.3</v>
      </c>
      <c r="CA44" s="152">
        <v>102.1</v>
      </c>
      <c r="CB44" s="152">
        <v>102.9</v>
      </c>
      <c r="CC44" s="152">
        <v>101.6</v>
      </c>
      <c r="CD44" s="152">
        <v>102.3</v>
      </c>
      <c r="CE44" s="152">
        <v>102</v>
      </c>
      <c r="CF44" s="152">
        <v>100.2</v>
      </c>
      <c r="CG44" s="152">
        <v>100.7</v>
      </c>
      <c r="CH44" s="152">
        <v>101.2</v>
      </c>
      <c r="CI44" s="152">
        <v>101.5</v>
      </c>
      <c r="CJ44" s="112">
        <v>104.5</v>
      </c>
      <c r="CK44" s="6">
        <v>103.4</v>
      </c>
      <c r="CL44" s="117">
        <v>102.7</v>
      </c>
      <c r="CM44" s="147"/>
    </row>
    <row r="45" spans="2:91">
      <c r="B45" s="126"/>
      <c r="C45" s="127" t="s">
        <v>13</v>
      </c>
      <c r="D45" s="17">
        <v>96.6</v>
      </c>
      <c r="E45" s="3">
        <v>99.6</v>
      </c>
      <c r="F45" s="3">
        <v>101.9</v>
      </c>
      <c r="G45" s="3">
        <v>98.6</v>
      </c>
      <c r="H45" s="3">
        <v>98.8</v>
      </c>
      <c r="I45" s="3">
        <v>102.4</v>
      </c>
      <c r="J45" s="3">
        <v>108.9</v>
      </c>
      <c r="K45" s="3">
        <v>99.7</v>
      </c>
      <c r="L45" s="3">
        <v>99.1</v>
      </c>
      <c r="M45" s="3">
        <v>100</v>
      </c>
      <c r="N45" s="3">
        <v>102.1</v>
      </c>
      <c r="O45" s="3">
        <v>99.9</v>
      </c>
      <c r="P45" s="3">
        <v>100.8</v>
      </c>
      <c r="Q45" s="3">
        <v>102.4</v>
      </c>
      <c r="R45" s="3">
        <v>101.1</v>
      </c>
      <c r="S45" s="3">
        <v>99.6</v>
      </c>
      <c r="T45" s="3">
        <v>100.5</v>
      </c>
      <c r="U45" s="3">
        <v>99.3</v>
      </c>
      <c r="V45" s="3">
        <v>99.8</v>
      </c>
      <c r="W45" s="3">
        <v>100.1</v>
      </c>
      <c r="X45" s="3">
        <v>99.9</v>
      </c>
      <c r="Y45" s="3">
        <v>100.2</v>
      </c>
      <c r="Z45" s="3">
        <v>100.8</v>
      </c>
      <c r="AA45" s="3">
        <v>99.9</v>
      </c>
      <c r="AB45" s="3">
        <v>102.5</v>
      </c>
      <c r="AC45" s="3">
        <v>103.8</v>
      </c>
      <c r="AD45" s="3">
        <v>100.4</v>
      </c>
      <c r="AE45" s="3">
        <v>99.9</v>
      </c>
      <c r="AF45" s="3">
        <v>99.5</v>
      </c>
      <c r="AG45" s="3">
        <v>99.4</v>
      </c>
      <c r="AH45" s="3">
        <v>100.6</v>
      </c>
      <c r="AI45" s="3">
        <v>98.6</v>
      </c>
      <c r="AJ45" s="3">
        <v>101.1</v>
      </c>
      <c r="AK45" s="3">
        <v>104.8</v>
      </c>
      <c r="AL45" s="3">
        <v>100.6</v>
      </c>
      <c r="AM45" s="3">
        <v>99.3</v>
      </c>
      <c r="AN45" s="8">
        <v>100.7</v>
      </c>
      <c r="AO45" s="8">
        <v>102.8</v>
      </c>
      <c r="AP45" s="8">
        <v>100.5</v>
      </c>
      <c r="AQ45" s="8">
        <v>100.2</v>
      </c>
      <c r="AR45" s="8">
        <v>100.6</v>
      </c>
      <c r="AS45" s="37">
        <v>102.5</v>
      </c>
      <c r="AT45" s="37">
        <v>100.4</v>
      </c>
      <c r="AU45" s="37">
        <v>99.4</v>
      </c>
      <c r="AV45" s="19">
        <v>98.9</v>
      </c>
      <c r="AW45" s="37">
        <v>101.1</v>
      </c>
      <c r="AX45" s="37">
        <v>100.8</v>
      </c>
      <c r="AY45" s="73">
        <v>98.9</v>
      </c>
      <c r="AZ45" s="8">
        <v>99.7</v>
      </c>
      <c r="BA45" s="37">
        <v>101.9</v>
      </c>
      <c r="BB45" s="37">
        <v>100.7</v>
      </c>
      <c r="BC45" s="59">
        <v>100</v>
      </c>
      <c r="BD45" s="8">
        <v>101.6</v>
      </c>
      <c r="BE45" s="37">
        <v>102.3</v>
      </c>
      <c r="BF45" s="8">
        <v>100.2</v>
      </c>
      <c r="BG45" s="8">
        <v>100.3</v>
      </c>
      <c r="BH45" s="8">
        <v>100.4</v>
      </c>
      <c r="BI45" s="37">
        <v>102.4</v>
      </c>
      <c r="BJ45" s="8">
        <v>100.5</v>
      </c>
      <c r="BK45" s="59">
        <v>100.5</v>
      </c>
      <c r="BL45" s="8">
        <v>101</v>
      </c>
      <c r="BM45" s="8">
        <v>101</v>
      </c>
      <c r="BN45" s="8">
        <v>100.7</v>
      </c>
      <c r="BO45" s="59">
        <v>100.7</v>
      </c>
      <c r="BP45" s="8">
        <v>100.7</v>
      </c>
      <c r="BQ45" s="8">
        <v>100.1</v>
      </c>
      <c r="BR45" s="8">
        <v>100.7</v>
      </c>
      <c r="BS45" s="59">
        <v>99.7</v>
      </c>
      <c r="BT45" s="8">
        <v>99.2</v>
      </c>
      <c r="BU45" s="8">
        <v>100.6</v>
      </c>
      <c r="BV45" s="8">
        <v>100.5</v>
      </c>
      <c r="BW45" s="8">
        <v>100.4</v>
      </c>
      <c r="BX45" s="140">
        <v>99.9</v>
      </c>
      <c r="BY45" s="140">
        <v>101.6</v>
      </c>
      <c r="BZ45" s="140">
        <v>100.6</v>
      </c>
      <c r="CA45" s="153">
        <v>99.8</v>
      </c>
      <c r="CB45" s="153">
        <v>100.9</v>
      </c>
      <c r="CC45" s="153">
        <v>101.1</v>
      </c>
      <c r="CD45" s="153">
        <v>100</v>
      </c>
      <c r="CE45" s="153">
        <v>99.7</v>
      </c>
      <c r="CF45" s="153">
        <v>99.3</v>
      </c>
      <c r="CG45" s="153">
        <v>102</v>
      </c>
      <c r="CH45" s="153">
        <v>101</v>
      </c>
      <c r="CI45" s="153">
        <v>100.1</v>
      </c>
      <c r="CJ45" s="112">
        <v>101.1</v>
      </c>
      <c r="CK45" s="6">
        <v>100.2</v>
      </c>
      <c r="CL45" s="117">
        <v>100.1</v>
      </c>
      <c r="CM45" s="163"/>
    </row>
    <row r="46" spans="2:91" ht="26.25">
      <c r="B46" s="135" t="s">
        <v>41</v>
      </c>
      <c r="C46" s="127" t="s">
        <v>34</v>
      </c>
      <c r="D46" s="99">
        <v>1904.4</v>
      </c>
      <c r="E46" s="100">
        <v>1892.5</v>
      </c>
      <c r="F46" s="100">
        <v>1881.2</v>
      </c>
      <c r="G46" s="100">
        <v>1871</v>
      </c>
      <c r="H46" s="100">
        <v>1859.3</v>
      </c>
      <c r="I46" s="100">
        <v>1847.9</v>
      </c>
      <c r="J46" s="100">
        <v>1835.5</v>
      </c>
      <c r="K46" s="100">
        <v>1824.6</v>
      </c>
      <c r="L46" s="100">
        <v>1814</v>
      </c>
      <c r="M46" s="100">
        <v>1803.8</v>
      </c>
      <c r="N46" s="100">
        <v>1791.9</v>
      </c>
      <c r="O46" s="100">
        <v>1781.7</v>
      </c>
      <c r="P46" s="100">
        <v>1772.3</v>
      </c>
      <c r="Q46" s="100">
        <v>1760.3</v>
      </c>
      <c r="R46" s="100">
        <v>1748.9</v>
      </c>
      <c r="S46" s="100">
        <v>1739.7</v>
      </c>
      <c r="T46" s="100">
        <v>1730.2</v>
      </c>
      <c r="U46" s="100">
        <v>1718.8</v>
      </c>
      <c r="V46" s="100">
        <v>1701.5</v>
      </c>
      <c r="W46" s="100">
        <v>1684</v>
      </c>
      <c r="X46" s="100">
        <v>1669.8</v>
      </c>
      <c r="Y46" s="100">
        <v>1652.2</v>
      </c>
      <c r="Z46" s="100">
        <v>1635.4</v>
      </c>
      <c r="AA46" s="100">
        <v>1621.4</v>
      </c>
      <c r="AB46" s="100">
        <v>1609.8</v>
      </c>
      <c r="AC46" s="100">
        <v>1593.8</v>
      </c>
      <c r="AD46" s="100">
        <v>1576.7</v>
      </c>
      <c r="AE46" s="100">
        <v>1563.5</v>
      </c>
      <c r="AF46" s="100">
        <v>1551.2</v>
      </c>
      <c r="AG46" s="100">
        <v>1536.7</v>
      </c>
      <c r="AH46" s="100">
        <v>1522.6</v>
      </c>
      <c r="AI46" s="100">
        <v>1510.4</v>
      </c>
      <c r="AJ46" s="100">
        <v>1498.2</v>
      </c>
      <c r="AK46" s="100">
        <v>1483.8</v>
      </c>
      <c r="AL46" s="100">
        <v>1470.7</v>
      </c>
      <c r="AM46" s="100">
        <v>1459</v>
      </c>
      <c r="AN46" s="101">
        <v>1446.3</v>
      </c>
      <c r="AO46" s="101">
        <v>1432.1</v>
      </c>
      <c r="AP46" s="101">
        <v>1418.8</v>
      </c>
      <c r="AQ46" s="101">
        <v>1406</v>
      </c>
      <c r="AR46" s="101">
        <v>1393.5</v>
      </c>
      <c r="AS46" s="101">
        <v>1381.4</v>
      </c>
      <c r="AT46" s="101">
        <v>1368.4</v>
      </c>
      <c r="AU46" s="101">
        <v>1355.4</v>
      </c>
      <c r="AV46" s="102">
        <v>1343.5</v>
      </c>
      <c r="AW46" s="101">
        <v>1331.9</v>
      </c>
      <c r="AX46" s="101">
        <v>1320.8</v>
      </c>
      <c r="AY46" s="103">
        <v>1310.3</v>
      </c>
      <c r="AZ46" s="101">
        <v>1300.9000000000001</v>
      </c>
      <c r="BA46" s="101">
        <v>1290.5999999999999</v>
      </c>
      <c r="BB46" s="101">
        <v>1280.0999999999999</v>
      </c>
      <c r="BC46" s="103">
        <v>1271.0999999999999</v>
      </c>
      <c r="BD46" s="101">
        <v>1260.9000000000001</v>
      </c>
      <c r="BE46" s="101">
        <v>1249.8</v>
      </c>
      <c r="BF46" s="101">
        <v>1240.3</v>
      </c>
      <c r="BG46" s="101">
        <v>1231.8</v>
      </c>
      <c r="BH46" s="101">
        <v>1223.7</v>
      </c>
      <c r="BI46" s="101">
        <v>1215.5999999999999</v>
      </c>
      <c r="BJ46" s="101">
        <v>1207.0999999999999</v>
      </c>
      <c r="BK46" s="103">
        <v>1200</v>
      </c>
      <c r="BL46" s="101">
        <v>1198.0999999999999</v>
      </c>
      <c r="BM46" s="101">
        <v>1200.5</v>
      </c>
      <c r="BN46" s="101">
        <v>1208.9000000000001</v>
      </c>
      <c r="BO46" s="103">
        <v>1205.0999999999999</v>
      </c>
      <c r="BP46" s="101">
        <v>1200.9000000000001</v>
      </c>
      <c r="BQ46" s="101">
        <v>1195.8</v>
      </c>
      <c r="BR46" s="101">
        <v>1192</v>
      </c>
      <c r="BS46" s="103">
        <v>1189</v>
      </c>
      <c r="BT46" s="101">
        <v>1183.2</v>
      </c>
      <c r="BU46" s="101">
        <v>1177</v>
      </c>
      <c r="BV46" s="101">
        <v>1171</v>
      </c>
      <c r="BW46" s="101">
        <v>1170</v>
      </c>
      <c r="BX46" s="142">
        <v>1171.2</v>
      </c>
      <c r="BY46" s="142">
        <v>1163.0999999999999</v>
      </c>
      <c r="BZ46" s="142">
        <v>1152.4000000000001</v>
      </c>
      <c r="CA46" s="150">
        <v>1143</v>
      </c>
      <c r="CB46" s="150">
        <v>1133.7</v>
      </c>
      <c r="CC46" s="150">
        <v>1125</v>
      </c>
      <c r="CD46" s="150">
        <v>1116.5999999999999</v>
      </c>
      <c r="CE46" s="150">
        <v>1107.2</v>
      </c>
      <c r="CF46" s="150">
        <v>1096.3</v>
      </c>
      <c r="CG46" s="150">
        <v>1089.2</v>
      </c>
      <c r="CH46" s="150">
        <v>1079</v>
      </c>
      <c r="CI46" s="150">
        <v>1069.2</v>
      </c>
      <c r="CJ46" s="112">
        <v>1054</v>
      </c>
      <c r="CK46" s="112">
        <v>1041.0999999999999</v>
      </c>
      <c r="CL46" s="115">
        <v>1030.5999999999999</v>
      </c>
      <c r="CM46" s="162"/>
    </row>
    <row r="47" spans="2:91" ht="26.25">
      <c r="B47" s="135" t="s">
        <v>42</v>
      </c>
      <c r="C47" s="127" t="s">
        <v>10</v>
      </c>
      <c r="D47" s="104">
        <v>585.32000000000005</v>
      </c>
      <c r="E47" s="105">
        <v>594.49</v>
      </c>
      <c r="F47" s="105">
        <v>612.82000000000005</v>
      </c>
      <c r="G47" s="105">
        <v>613.94000000000005</v>
      </c>
      <c r="H47" s="105">
        <v>624.21</v>
      </c>
      <c r="I47" s="105">
        <v>642.64</v>
      </c>
      <c r="J47" s="105">
        <v>695.43</v>
      </c>
      <c r="K47" s="105">
        <v>696.3</v>
      </c>
      <c r="L47" s="105">
        <v>696.98</v>
      </c>
      <c r="M47" s="105">
        <v>698.66</v>
      </c>
      <c r="N47" s="105">
        <v>702.02</v>
      </c>
      <c r="O47" s="105">
        <v>703.61</v>
      </c>
      <c r="P47" s="105">
        <v>712.02</v>
      </c>
      <c r="Q47" s="105">
        <v>730.32</v>
      </c>
      <c r="R47" s="105">
        <v>731.49</v>
      </c>
      <c r="S47" s="105">
        <v>734.39</v>
      </c>
      <c r="T47" s="105">
        <v>738.83</v>
      </c>
      <c r="U47" s="105">
        <v>748.16</v>
      </c>
      <c r="V47" s="105">
        <v>749.76</v>
      </c>
      <c r="W47" s="105">
        <v>752.42</v>
      </c>
      <c r="X47" s="105" t="s">
        <v>43</v>
      </c>
      <c r="Y47" s="105" t="s">
        <v>44</v>
      </c>
      <c r="Z47" s="105" t="s">
        <v>45</v>
      </c>
      <c r="AA47" s="105" t="s">
        <v>46</v>
      </c>
      <c r="AB47" s="105">
        <v>775.95</v>
      </c>
      <c r="AC47" s="105">
        <v>810.1</v>
      </c>
      <c r="AD47" s="105">
        <v>811.79</v>
      </c>
      <c r="AE47" s="105">
        <v>812.79</v>
      </c>
      <c r="AF47" s="105">
        <v>812.71</v>
      </c>
      <c r="AG47" s="105">
        <v>813.71</v>
      </c>
      <c r="AH47" s="105">
        <v>814.4</v>
      </c>
      <c r="AI47" s="105">
        <v>814.93</v>
      </c>
      <c r="AJ47" s="105">
        <v>829.98</v>
      </c>
      <c r="AK47" s="105">
        <v>866.94</v>
      </c>
      <c r="AL47" s="105">
        <v>867.3</v>
      </c>
      <c r="AM47" s="105">
        <v>867.93</v>
      </c>
      <c r="AN47" s="106">
        <v>884.67</v>
      </c>
      <c r="AO47" s="106">
        <v>919.79</v>
      </c>
      <c r="AP47" s="106">
        <v>919.84</v>
      </c>
      <c r="AQ47" s="106">
        <v>920.35</v>
      </c>
      <c r="AR47" s="106">
        <v>933.66</v>
      </c>
      <c r="AS47" s="106">
        <v>961.65</v>
      </c>
      <c r="AT47" s="106">
        <v>961.61</v>
      </c>
      <c r="AU47" s="109">
        <v>962.2</v>
      </c>
      <c r="AV47" s="107">
        <v>971.69</v>
      </c>
      <c r="AW47" s="106">
        <v>991.18</v>
      </c>
      <c r="AX47" s="106">
        <v>991.05</v>
      </c>
      <c r="AY47" s="110">
        <v>991.29</v>
      </c>
      <c r="AZ47" s="106">
        <v>1016.28</v>
      </c>
      <c r="BA47" s="106">
        <v>1067.75</v>
      </c>
      <c r="BB47" s="106">
        <v>1067.27</v>
      </c>
      <c r="BC47" s="110">
        <v>1067.73</v>
      </c>
      <c r="BD47" s="106">
        <v>1095.45</v>
      </c>
      <c r="BE47" s="106">
        <v>1129.99</v>
      </c>
      <c r="BF47" s="106">
        <v>1130.1199999999999</v>
      </c>
      <c r="BG47" s="109">
        <v>1130.97</v>
      </c>
      <c r="BH47" s="106">
        <v>1136.2</v>
      </c>
      <c r="BI47" s="106">
        <v>1147.26</v>
      </c>
      <c r="BJ47" s="106">
        <v>1146.75</v>
      </c>
      <c r="BK47" s="111">
        <v>1148.8399999999999</v>
      </c>
      <c r="BL47" s="106">
        <v>1161.3900000000001</v>
      </c>
      <c r="BM47" s="106">
        <v>1194.08</v>
      </c>
      <c r="BN47" s="106">
        <v>1182.47</v>
      </c>
      <c r="BO47" s="111">
        <v>1180.51</v>
      </c>
      <c r="BP47" s="106">
        <v>1180.8800000000001</v>
      </c>
      <c r="BQ47" s="106">
        <v>1184.8599999999999</v>
      </c>
      <c r="BR47" s="106">
        <v>1183.55</v>
      </c>
      <c r="BS47" s="111">
        <v>1182.05</v>
      </c>
      <c r="BT47" s="106">
        <v>1188.1600000000001</v>
      </c>
      <c r="BU47" s="106">
        <v>1202.26</v>
      </c>
      <c r="BV47" s="106">
        <v>1202.27</v>
      </c>
      <c r="BW47" s="138">
        <v>1207.44</v>
      </c>
      <c r="BX47" s="139">
        <v>1214.55</v>
      </c>
      <c r="BY47" s="139">
        <v>1229.31</v>
      </c>
      <c r="BZ47" s="139">
        <v>1231.7</v>
      </c>
      <c r="CA47" s="139">
        <v>1232.05</v>
      </c>
      <c r="CB47" s="139">
        <v>1255.76</v>
      </c>
      <c r="CC47" s="139">
        <v>1305.02</v>
      </c>
      <c r="CD47" s="139">
        <v>1303.3900000000001</v>
      </c>
      <c r="CE47" s="139">
        <v>1303.82</v>
      </c>
      <c r="CF47" s="139">
        <v>1335.68</v>
      </c>
      <c r="CG47" s="139">
        <v>1390.59</v>
      </c>
      <c r="CH47" s="139">
        <v>1391.68</v>
      </c>
      <c r="CI47" s="151">
        <v>1388.28</v>
      </c>
      <c r="CJ47" s="156">
        <v>1403.21</v>
      </c>
      <c r="CK47" s="139">
        <v>1438.43</v>
      </c>
      <c r="CL47" s="156">
        <v>1437.74</v>
      </c>
      <c r="CM47" s="162"/>
    </row>
    <row r="48" spans="2:91">
      <c r="B48" s="126"/>
      <c r="C48" s="127" t="s">
        <v>11</v>
      </c>
      <c r="D48" s="17">
        <v>109.6</v>
      </c>
      <c r="E48" s="3">
        <v>108.1</v>
      </c>
      <c r="F48" s="3">
        <v>105.1</v>
      </c>
      <c r="G48" s="3">
        <v>105.2</v>
      </c>
      <c r="H48" s="3">
        <v>106.6</v>
      </c>
      <c r="I48" s="3">
        <v>108.1</v>
      </c>
      <c r="J48" s="3">
        <v>113.5</v>
      </c>
      <c r="K48" s="3">
        <v>113.4</v>
      </c>
      <c r="L48" s="3">
        <v>111.7</v>
      </c>
      <c r="M48" s="3">
        <v>108.9</v>
      </c>
      <c r="N48" s="3">
        <v>101</v>
      </c>
      <c r="O48" s="3">
        <v>101</v>
      </c>
      <c r="P48" s="3">
        <v>102.2</v>
      </c>
      <c r="Q48" s="3">
        <v>104.5</v>
      </c>
      <c r="R48" s="3">
        <v>104.2</v>
      </c>
      <c r="S48" s="3">
        <v>104.8</v>
      </c>
      <c r="T48" s="3">
        <v>103.8</v>
      </c>
      <c r="U48" s="3">
        <v>102.4</v>
      </c>
      <c r="V48" s="3">
        <v>102.5</v>
      </c>
      <c r="W48" s="3">
        <v>102.5</v>
      </c>
      <c r="X48" s="3">
        <v>102.4</v>
      </c>
      <c r="Y48" s="3">
        <v>101.2</v>
      </c>
      <c r="Z48" s="3">
        <v>101.2</v>
      </c>
      <c r="AA48" s="3">
        <v>101</v>
      </c>
      <c r="AB48" s="3">
        <v>102.6</v>
      </c>
      <c r="AC48" s="3">
        <v>107</v>
      </c>
      <c r="AD48" s="3">
        <v>107</v>
      </c>
      <c r="AE48" s="3">
        <v>106.9</v>
      </c>
      <c r="AF48" s="3">
        <v>104.7</v>
      </c>
      <c r="AG48" s="3">
        <v>100.4</v>
      </c>
      <c r="AH48" s="3">
        <v>100.3</v>
      </c>
      <c r="AI48" s="3">
        <v>100.3</v>
      </c>
      <c r="AJ48" s="3">
        <v>102.1</v>
      </c>
      <c r="AK48" s="3">
        <v>106.5</v>
      </c>
      <c r="AL48" s="3">
        <v>106.5</v>
      </c>
      <c r="AM48" s="3">
        <v>106.5</v>
      </c>
      <c r="AN48" s="8">
        <v>106.6</v>
      </c>
      <c r="AO48" s="37">
        <v>106.1</v>
      </c>
      <c r="AP48" s="37">
        <v>106.1</v>
      </c>
      <c r="AQ48" s="8">
        <v>106</v>
      </c>
      <c r="AR48" s="8">
        <v>105.5</v>
      </c>
      <c r="AS48" s="8">
        <v>104.5</v>
      </c>
      <c r="AT48" s="8">
        <v>104.5</v>
      </c>
      <c r="AU48" s="8">
        <v>104.5</v>
      </c>
      <c r="AV48" s="19">
        <v>104.1</v>
      </c>
      <c r="AW48" s="8">
        <v>103.1</v>
      </c>
      <c r="AX48" s="8">
        <v>103.1</v>
      </c>
      <c r="AY48" s="59">
        <v>103</v>
      </c>
      <c r="AZ48" s="8">
        <v>104.6</v>
      </c>
      <c r="BA48" s="8">
        <v>107.7</v>
      </c>
      <c r="BB48" s="8">
        <v>107.7</v>
      </c>
      <c r="BC48" s="59">
        <v>107.7</v>
      </c>
      <c r="BD48" s="8">
        <v>107.8</v>
      </c>
      <c r="BE48" s="8">
        <v>105.8</v>
      </c>
      <c r="BF48" s="8">
        <v>105.9</v>
      </c>
      <c r="BG48" s="8">
        <v>105.9</v>
      </c>
      <c r="BH48" s="8">
        <v>103.7</v>
      </c>
      <c r="BI48" s="8">
        <v>101.5</v>
      </c>
      <c r="BJ48" s="8">
        <v>101.5</v>
      </c>
      <c r="BK48" s="59">
        <v>101.6</v>
      </c>
      <c r="BL48" s="8">
        <v>102.2</v>
      </c>
      <c r="BM48" s="8">
        <v>104.1</v>
      </c>
      <c r="BN48" s="8">
        <v>103.1</v>
      </c>
      <c r="BO48" s="59">
        <v>102.8</v>
      </c>
      <c r="BP48" s="8">
        <v>101.7</v>
      </c>
      <c r="BQ48" s="8">
        <v>99.2</v>
      </c>
      <c r="BR48" s="8">
        <v>100.1</v>
      </c>
      <c r="BS48" s="59">
        <v>100.1</v>
      </c>
      <c r="BT48" s="8">
        <v>100.6</v>
      </c>
      <c r="BU48" s="8">
        <v>101.5</v>
      </c>
      <c r="BV48" s="8">
        <v>101.6</v>
      </c>
      <c r="BW48" s="8">
        <v>102.1</v>
      </c>
      <c r="BX48" s="140">
        <v>102.2</v>
      </c>
      <c r="BY48" s="140">
        <v>102.3</v>
      </c>
      <c r="BZ48" s="140">
        <v>102.4</v>
      </c>
      <c r="CA48" s="153">
        <v>102</v>
      </c>
      <c r="CB48" s="153">
        <v>103.4</v>
      </c>
      <c r="CC48" s="153">
        <v>106.2</v>
      </c>
      <c r="CD48" s="153">
        <v>105.8</v>
      </c>
      <c r="CE48" s="153">
        <v>105.8</v>
      </c>
      <c r="CF48" s="153">
        <v>106.4</v>
      </c>
      <c r="CG48" s="153">
        <v>106.6</v>
      </c>
      <c r="CH48" s="153">
        <v>106.8</v>
      </c>
      <c r="CI48" s="153">
        <v>106.5</v>
      </c>
      <c r="CJ48" s="155">
        <v>105.1</v>
      </c>
      <c r="CK48" s="6">
        <v>103.4</v>
      </c>
      <c r="CL48" s="115">
        <v>103.3</v>
      </c>
      <c r="CM48" s="162"/>
    </row>
    <row r="49" spans="2:91" ht="15.75">
      <c r="B49" s="126"/>
      <c r="C49" s="127" t="s">
        <v>12</v>
      </c>
      <c r="D49" s="17">
        <v>109.6</v>
      </c>
      <c r="E49" s="3">
        <v>108.8</v>
      </c>
      <c r="F49" s="3">
        <v>107.5</v>
      </c>
      <c r="G49" s="3">
        <v>106.9</v>
      </c>
      <c r="H49" s="3">
        <v>106.6</v>
      </c>
      <c r="I49" s="3">
        <v>107.3</v>
      </c>
      <c r="J49" s="3">
        <v>109.5</v>
      </c>
      <c r="K49" s="3">
        <v>110.4</v>
      </c>
      <c r="L49" s="3">
        <v>111.7</v>
      </c>
      <c r="M49" s="3">
        <v>110.2</v>
      </c>
      <c r="N49" s="3">
        <v>107</v>
      </c>
      <c r="O49" s="3">
        <v>105.4</v>
      </c>
      <c r="P49" s="3">
        <v>102.2</v>
      </c>
      <c r="Q49" s="3">
        <v>103.3</v>
      </c>
      <c r="R49" s="3">
        <v>103.6</v>
      </c>
      <c r="S49" s="3">
        <v>103.8</v>
      </c>
      <c r="T49" s="3">
        <v>103.8</v>
      </c>
      <c r="U49" s="3">
        <v>103.1</v>
      </c>
      <c r="V49" s="3">
        <v>103</v>
      </c>
      <c r="W49" s="3">
        <v>102.8</v>
      </c>
      <c r="X49" s="3">
        <v>102.4</v>
      </c>
      <c r="Y49" s="3">
        <v>101.8</v>
      </c>
      <c r="Z49" s="3">
        <v>101.6</v>
      </c>
      <c r="AA49" s="3">
        <v>101.5</v>
      </c>
      <c r="AB49" s="3">
        <v>102.6</v>
      </c>
      <c r="AC49" s="3">
        <v>104.8</v>
      </c>
      <c r="AD49" s="3">
        <v>105.5</v>
      </c>
      <c r="AE49" s="3">
        <v>105.9</v>
      </c>
      <c r="AF49" s="3">
        <v>104.7</v>
      </c>
      <c r="AG49" s="3">
        <v>102.6</v>
      </c>
      <c r="AH49" s="3">
        <v>101.8</v>
      </c>
      <c r="AI49" s="3">
        <v>101.4</v>
      </c>
      <c r="AJ49" s="3">
        <v>102.1</v>
      </c>
      <c r="AK49" s="3">
        <v>104.3</v>
      </c>
      <c r="AL49" s="3">
        <v>105</v>
      </c>
      <c r="AM49" s="3">
        <v>105.4</v>
      </c>
      <c r="AN49" s="8">
        <v>106.6</v>
      </c>
      <c r="AO49" s="37">
        <v>106.3</v>
      </c>
      <c r="AP49" s="37">
        <v>106.2</v>
      </c>
      <c r="AQ49" s="37">
        <v>106.2</v>
      </c>
      <c r="AR49" s="8">
        <v>105.5</v>
      </c>
      <c r="AS49" s="8">
        <v>105</v>
      </c>
      <c r="AT49" s="8">
        <v>104.9</v>
      </c>
      <c r="AU49" s="8">
        <v>104.8</v>
      </c>
      <c r="AV49" s="19">
        <v>104.1</v>
      </c>
      <c r="AW49" s="8">
        <v>103.6</v>
      </c>
      <c r="AX49" s="8">
        <v>103.4</v>
      </c>
      <c r="AY49" s="59">
        <v>103.3</v>
      </c>
      <c r="AZ49" s="8">
        <v>104.6</v>
      </c>
      <c r="BA49" s="8">
        <v>106.2</v>
      </c>
      <c r="BB49" s="8">
        <v>106.7</v>
      </c>
      <c r="BC49" s="59">
        <v>106.9</v>
      </c>
      <c r="BD49" s="8">
        <v>107.8</v>
      </c>
      <c r="BE49" s="8">
        <v>106.8</v>
      </c>
      <c r="BF49" s="8">
        <v>106.5</v>
      </c>
      <c r="BG49" s="8">
        <v>106.3</v>
      </c>
      <c r="BH49" s="8">
        <v>103.7</v>
      </c>
      <c r="BI49" s="8">
        <v>102.6</v>
      </c>
      <c r="BJ49" s="8">
        <v>102.2</v>
      </c>
      <c r="BK49" s="59">
        <v>102.1</v>
      </c>
      <c r="BL49" s="8">
        <v>102.2</v>
      </c>
      <c r="BM49" s="8">
        <v>103.2</v>
      </c>
      <c r="BN49" s="8">
        <v>103.1</v>
      </c>
      <c r="BO49" s="59">
        <v>103</v>
      </c>
      <c r="BP49" s="8">
        <v>101.7</v>
      </c>
      <c r="BQ49" s="8">
        <v>100.4</v>
      </c>
      <c r="BR49" s="8">
        <v>100.3</v>
      </c>
      <c r="BS49" s="59">
        <v>100.3</v>
      </c>
      <c r="BT49" s="8">
        <v>100.6</v>
      </c>
      <c r="BU49" s="8">
        <v>101</v>
      </c>
      <c r="BV49" s="8">
        <v>101.2</v>
      </c>
      <c r="BW49" s="8">
        <v>101.5</v>
      </c>
      <c r="BX49" s="140">
        <v>102.2</v>
      </c>
      <c r="BY49" s="140">
        <v>102.2</v>
      </c>
      <c r="BZ49" s="140">
        <v>102.3</v>
      </c>
      <c r="CA49" s="153">
        <v>102.2</v>
      </c>
      <c r="CB49" s="153">
        <v>103.4</v>
      </c>
      <c r="CC49" s="153">
        <v>104.8</v>
      </c>
      <c r="CD49" s="153">
        <v>105.1</v>
      </c>
      <c r="CE49" s="153">
        <v>105.3</v>
      </c>
      <c r="CF49" s="153">
        <v>106.4</v>
      </c>
      <c r="CG49" s="153">
        <v>106.5</v>
      </c>
      <c r="CH49" s="153">
        <v>106.6</v>
      </c>
      <c r="CI49" s="153">
        <v>106.5</v>
      </c>
      <c r="CJ49" s="155">
        <v>105.1</v>
      </c>
      <c r="CK49" s="6">
        <v>104.2</v>
      </c>
      <c r="CL49" s="115">
        <v>103.9</v>
      </c>
      <c r="CM49" s="162"/>
    </row>
    <row r="50" spans="2:91">
      <c r="B50" s="126"/>
      <c r="C50" s="127" t="s">
        <v>13</v>
      </c>
      <c r="D50" s="38">
        <v>100.2</v>
      </c>
      <c r="E50" s="39">
        <v>101.6</v>
      </c>
      <c r="F50" s="39">
        <v>103.1</v>
      </c>
      <c r="G50" s="39">
        <v>100.2</v>
      </c>
      <c r="H50" s="39">
        <v>101.7</v>
      </c>
      <c r="I50" s="5">
        <v>103</v>
      </c>
      <c r="J50" s="39">
        <v>108.2</v>
      </c>
      <c r="K50" s="39">
        <v>100.1</v>
      </c>
      <c r="L50" s="39">
        <v>100.1</v>
      </c>
      <c r="M50" s="39">
        <v>100.2</v>
      </c>
      <c r="N50" s="39">
        <v>100.5</v>
      </c>
      <c r="O50" s="39">
        <v>100.2</v>
      </c>
      <c r="P50" s="39">
        <v>101.2</v>
      </c>
      <c r="Q50" s="39">
        <v>102.6</v>
      </c>
      <c r="R50" s="39">
        <v>100.2</v>
      </c>
      <c r="S50" s="39">
        <v>100.4</v>
      </c>
      <c r="T50" s="39">
        <v>100.6</v>
      </c>
      <c r="U50" s="39">
        <v>101.3</v>
      </c>
      <c r="V50" s="39">
        <v>100.2</v>
      </c>
      <c r="W50" s="39">
        <v>100.4</v>
      </c>
      <c r="X50" s="39">
        <v>100.5</v>
      </c>
      <c r="Y50" s="39">
        <v>100.1</v>
      </c>
      <c r="Z50" s="39">
        <v>100.2</v>
      </c>
      <c r="AA50" s="39">
        <v>100.2</v>
      </c>
      <c r="AB50" s="39">
        <v>102.1</v>
      </c>
      <c r="AC50" s="39">
        <v>104.4</v>
      </c>
      <c r="AD50" s="39">
        <v>100.2</v>
      </c>
      <c r="AE50" s="39">
        <v>100.1</v>
      </c>
      <c r="AF50" s="5">
        <v>100</v>
      </c>
      <c r="AG50" s="39">
        <v>100.1</v>
      </c>
      <c r="AH50" s="39">
        <v>100.1</v>
      </c>
      <c r="AI50" s="39">
        <v>100.1</v>
      </c>
      <c r="AJ50" s="39">
        <v>101.8</v>
      </c>
      <c r="AK50" s="39">
        <v>104.5</v>
      </c>
      <c r="AL50" s="5">
        <v>100</v>
      </c>
      <c r="AM50" s="39">
        <v>100.1</v>
      </c>
      <c r="AN50" s="8">
        <v>101.9</v>
      </c>
      <c r="AO50" s="8">
        <v>104</v>
      </c>
      <c r="AP50" s="8">
        <v>100</v>
      </c>
      <c r="AQ50" s="37">
        <v>100.1</v>
      </c>
      <c r="AR50" s="8">
        <v>101.4</v>
      </c>
      <c r="AS50" s="8">
        <v>103</v>
      </c>
      <c r="AT50" s="8">
        <v>100</v>
      </c>
      <c r="AU50" s="8">
        <v>100.1</v>
      </c>
      <c r="AV50" s="19">
        <v>101</v>
      </c>
      <c r="AW50" s="8">
        <v>102</v>
      </c>
      <c r="AX50" s="8">
        <v>100</v>
      </c>
      <c r="AY50" s="59">
        <v>100</v>
      </c>
      <c r="AZ50" s="8">
        <v>102.5</v>
      </c>
      <c r="BA50" s="8">
        <v>105.1</v>
      </c>
      <c r="BB50" s="8">
        <v>100</v>
      </c>
      <c r="BC50" s="59">
        <v>100</v>
      </c>
      <c r="BD50" s="8">
        <v>102.6</v>
      </c>
      <c r="BE50" s="8">
        <v>103.2</v>
      </c>
      <c r="BF50" s="8">
        <v>100</v>
      </c>
      <c r="BG50" s="8">
        <v>100.1</v>
      </c>
      <c r="BH50" s="8">
        <v>100.5</v>
      </c>
      <c r="BI50" s="8">
        <v>101</v>
      </c>
      <c r="BJ50" s="8">
        <v>100</v>
      </c>
      <c r="BK50" s="59">
        <v>100.2</v>
      </c>
      <c r="BL50" s="8">
        <v>101.1</v>
      </c>
      <c r="BM50" s="8">
        <v>102.8</v>
      </c>
      <c r="BN50" s="8">
        <v>99</v>
      </c>
      <c r="BO50" s="59">
        <v>99.8</v>
      </c>
      <c r="BP50" s="8">
        <v>100</v>
      </c>
      <c r="BQ50" s="8">
        <v>100.3</v>
      </c>
      <c r="BR50" s="8">
        <v>99.9</v>
      </c>
      <c r="BS50" s="59">
        <v>99.9</v>
      </c>
      <c r="BT50" s="8">
        <v>100.5</v>
      </c>
      <c r="BU50" s="8">
        <v>101.2</v>
      </c>
      <c r="BV50" s="8">
        <v>100</v>
      </c>
      <c r="BW50" s="8">
        <v>100.4</v>
      </c>
      <c r="BX50" s="140">
        <v>100.6</v>
      </c>
      <c r="BY50" s="140">
        <v>101.2</v>
      </c>
      <c r="BZ50" s="140">
        <v>100.2</v>
      </c>
      <c r="CA50" s="153">
        <v>100</v>
      </c>
      <c r="CB50" s="153">
        <v>101.9</v>
      </c>
      <c r="CC50" s="153">
        <v>103.9</v>
      </c>
      <c r="CD50" s="153">
        <v>99.9</v>
      </c>
      <c r="CE50" s="153">
        <v>100</v>
      </c>
      <c r="CF50" s="153">
        <v>102.4</v>
      </c>
      <c r="CG50" s="153">
        <v>104.1</v>
      </c>
      <c r="CH50" s="153">
        <v>100.1</v>
      </c>
      <c r="CI50" s="153">
        <v>99.8</v>
      </c>
      <c r="CJ50" s="155">
        <v>101.1</v>
      </c>
      <c r="CK50" s="6">
        <v>102.5</v>
      </c>
      <c r="CL50" s="117">
        <v>100</v>
      </c>
      <c r="CM50" s="147"/>
    </row>
    <row r="51" spans="2:91" ht="26.25">
      <c r="B51" s="135" t="s">
        <v>47</v>
      </c>
      <c r="C51" s="127" t="s">
        <v>11</v>
      </c>
      <c r="D51" s="17">
        <v>99.6</v>
      </c>
      <c r="E51" s="3">
        <v>98.4</v>
      </c>
      <c r="F51" s="3">
        <v>94.6</v>
      </c>
      <c r="G51" s="3">
        <v>96.2</v>
      </c>
      <c r="H51" s="3">
        <v>99.6</v>
      </c>
      <c r="I51" s="3">
        <v>100.8</v>
      </c>
      <c r="J51" s="3">
        <v>107.6</v>
      </c>
      <c r="K51" s="3">
        <v>108.7</v>
      </c>
      <c r="L51" s="3">
        <v>107.5</v>
      </c>
      <c r="M51" s="3">
        <v>106.3</v>
      </c>
      <c r="N51" s="3">
        <v>99.6</v>
      </c>
      <c r="O51" s="3">
        <v>99.9</v>
      </c>
      <c r="P51" s="3">
        <v>101.7</v>
      </c>
      <c r="Q51" s="3">
        <v>104</v>
      </c>
      <c r="R51" s="3">
        <v>103.1</v>
      </c>
      <c r="S51" s="3">
        <v>102.9</v>
      </c>
      <c r="T51" s="3">
        <v>101.9</v>
      </c>
      <c r="U51" s="3">
        <v>98.7</v>
      </c>
      <c r="V51" s="3">
        <v>97.6</v>
      </c>
      <c r="W51" s="3">
        <v>97.9</v>
      </c>
      <c r="X51" s="3">
        <v>98.6</v>
      </c>
      <c r="Y51" s="3">
        <v>98.7</v>
      </c>
      <c r="Z51" s="3">
        <v>99.5</v>
      </c>
      <c r="AA51" s="3">
        <v>99.7</v>
      </c>
      <c r="AB51" s="3">
        <v>101.8</v>
      </c>
      <c r="AC51" s="3">
        <v>105.7</v>
      </c>
      <c r="AD51" s="3">
        <v>105.1</v>
      </c>
      <c r="AE51" s="3">
        <v>104.9</v>
      </c>
      <c r="AF51" s="3">
        <v>102.1</v>
      </c>
      <c r="AG51" s="3">
        <v>99.7</v>
      </c>
      <c r="AH51" s="3">
        <v>97.9</v>
      </c>
      <c r="AI51" s="3">
        <v>96.4</v>
      </c>
      <c r="AJ51" s="3">
        <v>97.5</v>
      </c>
      <c r="AK51" s="3">
        <v>101.4</v>
      </c>
      <c r="AL51" s="3">
        <v>101</v>
      </c>
      <c r="AM51" s="3">
        <v>101.8</v>
      </c>
      <c r="AN51" s="8">
        <v>102.1</v>
      </c>
      <c r="AO51" s="37">
        <v>101.3</v>
      </c>
      <c r="AP51" s="37">
        <v>101.8</v>
      </c>
      <c r="AQ51" s="37">
        <v>102.3</v>
      </c>
      <c r="AR51" s="8">
        <v>102.4</v>
      </c>
      <c r="AS51" s="8">
        <v>102.2</v>
      </c>
      <c r="AT51" s="8">
        <v>101.9</v>
      </c>
      <c r="AU51" s="8">
        <v>101.1</v>
      </c>
      <c r="AV51" s="19">
        <v>99.7</v>
      </c>
      <c r="AW51" s="8">
        <v>98</v>
      </c>
      <c r="AX51" s="8">
        <v>98.7</v>
      </c>
      <c r="AY51" s="59">
        <v>98.1</v>
      </c>
      <c r="AZ51" s="8">
        <v>100.2</v>
      </c>
      <c r="BA51" s="8">
        <v>103.3</v>
      </c>
      <c r="BB51" s="8">
        <v>103.3</v>
      </c>
      <c r="BC51" s="59">
        <v>104.4</v>
      </c>
      <c r="BD51" s="8">
        <v>106.2</v>
      </c>
      <c r="BE51" s="8">
        <v>105.2</v>
      </c>
      <c r="BF51" s="8">
        <v>104.4</v>
      </c>
      <c r="BG51" s="8">
        <v>104.9</v>
      </c>
      <c r="BH51" s="8">
        <v>102.7</v>
      </c>
      <c r="BI51" s="8">
        <v>101.1</v>
      </c>
      <c r="BJ51" s="8">
        <v>101.9</v>
      </c>
      <c r="BK51" s="59">
        <v>102.5</v>
      </c>
      <c r="BL51" s="8">
        <v>103.7</v>
      </c>
      <c r="BM51" s="8">
        <v>104.8</v>
      </c>
      <c r="BN51" s="8">
        <v>103.3</v>
      </c>
      <c r="BO51" s="59">
        <v>103</v>
      </c>
      <c r="BP51" s="8">
        <v>102.2</v>
      </c>
      <c r="BQ51" s="8">
        <v>99.9</v>
      </c>
      <c r="BR51" s="8">
        <v>100.8</v>
      </c>
      <c r="BS51" s="59">
        <v>100</v>
      </c>
      <c r="BT51" s="8">
        <v>98.7</v>
      </c>
      <c r="BU51" s="8">
        <v>99.5</v>
      </c>
      <c r="BV51" s="8">
        <v>99.3</v>
      </c>
      <c r="BW51" s="8">
        <v>99.2</v>
      </c>
      <c r="BX51" s="140">
        <v>100.2</v>
      </c>
      <c r="BY51" s="140">
        <v>100.4</v>
      </c>
      <c r="BZ51" s="140">
        <v>100.5</v>
      </c>
      <c r="CA51" s="153">
        <v>100.8</v>
      </c>
      <c r="CB51" s="153">
        <v>102.2</v>
      </c>
      <c r="CC51" s="153">
        <v>103.5</v>
      </c>
      <c r="CD51" s="153">
        <v>102.5</v>
      </c>
      <c r="CE51" s="153">
        <v>102.5</v>
      </c>
      <c r="CF51" s="153">
        <v>101.2</v>
      </c>
      <c r="CG51" s="153">
        <v>102.5</v>
      </c>
      <c r="CH51" s="153">
        <v>103.2</v>
      </c>
      <c r="CI51" s="153">
        <v>103.2</v>
      </c>
      <c r="CJ51" s="155">
        <v>102.2</v>
      </c>
      <c r="CK51" s="6">
        <v>99.4</v>
      </c>
      <c r="CL51" s="115">
        <v>98.3</v>
      </c>
      <c r="CM51" s="162"/>
    </row>
    <row r="52" spans="2:91" ht="15.75">
      <c r="B52" s="135"/>
      <c r="C52" s="127" t="s">
        <v>12</v>
      </c>
      <c r="D52" s="17">
        <v>99.6</v>
      </c>
      <c r="E52" s="3">
        <v>98.9</v>
      </c>
      <c r="F52" s="3">
        <v>97.5</v>
      </c>
      <c r="G52" s="3">
        <v>97.1</v>
      </c>
      <c r="H52" s="3">
        <v>99.6</v>
      </c>
      <c r="I52" s="3">
        <v>100.2</v>
      </c>
      <c r="J52" s="3">
        <v>102.7</v>
      </c>
      <c r="K52" s="3">
        <v>104.2</v>
      </c>
      <c r="L52" s="3">
        <v>107.5</v>
      </c>
      <c r="M52" s="3">
        <v>106.9</v>
      </c>
      <c r="N52" s="3">
        <v>104.4</v>
      </c>
      <c r="O52" s="3">
        <v>103.1</v>
      </c>
      <c r="P52" s="3">
        <v>101.7</v>
      </c>
      <c r="Q52" s="3">
        <v>102.8</v>
      </c>
      <c r="R52" s="3">
        <v>102.9</v>
      </c>
      <c r="S52" s="3">
        <v>102.8</v>
      </c>
      <c r="T52" s="3">
        <v>101.9</v>
      </c>
      <c r="U52" s="3">
        <v>100.3</v>
      </c>
      <c r="V52" s="3">
        <v>99.5</v>
      </c>
      <c r="W52" s="3">
        <v>99</v>
      </c>
      <c r="X52" s="3">
        <v>98.6</v>
      </c>
      <c r="Y52" s="3">
        <v>98.6</v>
      </c>
      <c r="Z52" s="3">
        <v>98.9</v>
      </c>
      <c r="AA52" s="3">
        <v>99.2</v>
      </c>
      <c r="AB52" s="3">
        <v>101.7</v>
      </c>
      <c r="AC52" s="3">
        <v>103.7</v>
      </c>
      <c r="AD52" s="3">
        <v>104.1</v>
      </c>
      <c r="AE52" s="3">
        <v>104.4</v>
      </c>
      <c r="AF52" s="3">
        <v>102.1</v>
      </c>
      <c r="AG52" s="3">
        <v>99.9</v>
      </c>
      <c r="AH52" s="3">
        <v>99.2</v>
      </c>
      <c r="AI52" s="3">
        <v>98.4</v>
      </c>
      <c r="AJ52" s="3">
        <v>97.5</v>
      </c>
      <c r="AK52" s="3">
        <v>99.4</v>
      </c>
      <c r="AL52" s="3">
        <v>100</v>
      </c>
      <c r="AM52" s="3">
        <v>100.5</v>
      </c>
      <c r="AN52" s="8">
        <v>102.1</v>
      </c>
      <c r="AO52" s="37">
        <v>101.7</v>
      </c>
      <c r="AP52" s="37">
        <v>101.7</v>
      </c>
      <c r="AQ52" s="37">
        <v>101.9</v>
      </c>
      <c r="AR52" s="8">
        <v>102.4</v>
      </c>
      <c r="AS52" s="8">
        <v>102.3</v>
      </c>
      <c r="AT52" s="8">
        <v>102.2</v>
      </c>
      <c r="AU52" s="8">
        <v>101.9</v>
      </c>
      <c r="AV52" s="19">
        <v>99.7</v>
      </c>
      <c r="AW52" s="8">
        <v>98.9</v>
      </c>
      <c r="AX52" s="8">
        <v>98.8</v>
      </c>
      <c r="AY52" s="59">
        <v>98.6</v>
      </c>
      <c r="AZ52" s="8">
        <v>100.2</v>
      </c>
      <c r="BA52" s="8">
        <v>101.7</v>
      </c>
      <c r="BB52" s="8">
        <v>102.3</v>
      </c>
      <c r="BC52" s="59">
        <v>102.8</v>
      </c>
      <c r="BD52" s="8">
        <v>106.2</v>
      </c>
      <c r="BE52" s="8">
        <v>105.6</v>
      </c>
      <c r="BF52" s="8">
        <v>105.2</v>
      </c>
      <c r="BG52" s="8">
        <v>105.1</v>
      </c>
      <c r="BH52" s="8">
        <v>102.7</v>
      </c>
      <c r="BI52" s="8">
        <v>101.9</v>
      </c>
      <c r="BJ52" s="8">
        <v>101.9</v>
      </c>
      <c r="BK52" s="59">
        <v>102.1</v>
      </c>
      <c r="BL52" s="8">
        <v>103.7</v>
      </c>
      <c r="BM52" s="8">
        <v>104.2</v>
      </c>
      <c r="BN52" s="8">
        <v>103.9</v>
      </c>
      <c r="BO52" s="59">
        <v>103.6</v>
      </c>
      <c r="BP52" s="8">
        <v>102.2</v>
      </c>
      <c r="BQ52" s="8">
        <v>101</v>
      </c>
      <c r="BR52" s="8">
        <v>100.9</v>
      </c>
      <c r="BS52" s="59">
        <v>100.7</v>
      </c>
      <c r="BT52" s="8">
        <v>98.7</v>
      </c>
      <c r="BU52" s="8">
        <v>99.1</v>
      </c>
      <c r="BV52" s="8">
        <v>99.1</v>
      </c>
      <c r="BW52" s="8">
        <v>99.2</v>
      </c>
      <c r="BX52" s="140">
        <v>100.2</v>
      </c>
      <c r="BY52" s="140">
        <v>100.2</v>
      </c>
      <c r="BZ52" s="140">
        <v>100.4</v>
      </c>
      <c r="CA52" s="153">
        <v>100.4</v>
      </c>
      <c r="CB52" s="153">
        <v>102.2</v>
      </c>
      <c r="CC52" s="153">
        <v>102.8</v>
      </c>
      <c r="CD52" s="153">
        <v>102.7</v>
      </c>
      <c r="CE52" s="153">
        <v>102.6</v>
      </c>
      <c r="CF52" s="153">
        <v>101.2</v>
      </c>
      <c r="CG52" s="153">
        <v>101.9</v>
      </c>
      <c r="CH52" s="153">
        <v>102.3</v>
      </c>
      <c r="CI52" s="153">
        <v>102.5</v>
      </c>
      <c r="CJ52" s="155">
        <v>102.2</v>
      </c>
      <c r="CK52" s="6">
        <v>100.8</v>
      </c>
      <c r="CL52" s="117">
        <v>99.9</v>
      </c>
      <c r="CM52" s="163"/>
    </row>
    <row r="53" spans="2:91" ht="15.75" thickBot="1">
      <c r="B53" s="136"/>
      <c r="C53" s="137" t="s">
        <v>13</v>
      </c>
      <c r="D53" s="40">
        <v>96.4</v>
      </c>
      <c r="E53" s="41">
        <v>99.6</v>
      </c>
      <c r="F53" s="41">
        <v>101.7</v>
      </c>
      <c r="G53" s="41">
        <v>98.4</v>
      </c>
      <c r="H53" s="41">
        <v>100</v>
      </c>
      <c r="I53" s="41">
        <v>101</v>
      </c>
      <c r="J53" s="41">
        <v>108.4</v>
      </c>
      <c r="K53" s="41">
        <v>99.4</v>
      </c>
      <c r="L53" s="41">
        <v>98.8</v>
      </c>
      <c r="M53" s="41">
        <v>99.7</v>
      </c>
      <c r="N53" s="41">
        <v>101.7</v>
      </c>
      <c r="O53" s="41">
        <v>99.6</v>
      </c>
      <c r="P53" s="41">
        <v>100.5</v>
      </c>
      <c r="Q53" s="41">
        <v>102.1</v>
      </c>
      <c r="R53" s="41">
        <v>100.8</v>
      </c>
      <c r="S53" s="41">
        <v>99.2</v>
      </c>
      <c r="T53" s="41">
        <v>99.8</v>
      </c>
      <c r="U53" s="41">
        <v>99.1</v>
      </c>
      <c r="V53" s="41">
        <v>99.6</v>
      </c>
      <c r="W53" s="41">
        <v>99.5</v>
      </c>
      <c r="X53" s="41">
        <v>100</v>
      </c>
      <c r="Y53" s="41">
        <v>99.5</v>
      </c>
      <c r="Z53" s="41">
        <v>100.5</v>
      </c>
      <c r="AA53" s="41">
        <v>99.6</v>
      </c>
      <c r="AB53" s="41">
        <v>101.8</v>
      </c>
      <c r="AC53" s="41">
        <v>103.4</v>
      </c>
      <c r="AD53" s="41">
        <v>100.2</v>
      </c>
      <c r="AE53" s="41">
        <v>99.5</v>
      </c>
      <c r="AF53" s="41">
        <v>99</v>
      </c>
      <c r="AG53" s="42">
        <v>98.8</v>
      </c>
      <c r="AH53" s="41">
        <v>100.3</v>
      </c>
      <c r="AI53" s="41">
        <v>98.3</v>
      </c>
      <c r="AJ53" s="41">
        <v>99.9</v>
      </c>
      <c r="AK53" s="41">
        <v>103</v>
      </c>
      <c r="AL53" s="41">
        <v>99.9</v>
      </c>
      <c r="AM53" s="41">
        <v>99</v>
      </c>
      <c r="AN53" s="9">
        <v>100.1</v>
      </c>
      <c r="AO53" s="43">
        <v>102.1</v>
      </c>
      <c r="AP53" s="43">
        <v>100.3</v>
      </c>
      <c r="AQ53" s="43">
        <v>99.9</v>
      </c>
      <c r="AR53" s="9">
        <v>100.2</v>
      </c>
      <c r="AS53" s="9">
        <v>101.9</v>
      </c>
      <c r="AT53" s="9">
        <v>100</v>
      </c>
      <c r="AU53" s="9">
        <v>99</v>
      </c>
      <c r="AV53" s="50">
        <v>98.5</v>
      </c>
      <c r="AW53" s="9">
        <v>100.5</v>
      </c>
      <c r="AX53" s="9">
        <v>100.6</v>
      </c>
      <c r="AY53" s="74">
        <v>98.5</v>
      </c>
      <c r="AZ53" s="9">
        <v>100.5</v>
      </c>
      <c r="BA53" s="9">
        <v>103.6</v>
      </c>
      <c r="BB53" s="9">
        <v>100.6</v>
      </c>
      <c r="BC53" s="74">
        <v>99.6</v>
      </c>
      <c r="BD53" s="9">
        <v>102.2</v>
      </c>
      <c r="BE53" s="9">
        <v>102.7</v>
      </c>
      <c r="BF53" s="9">
        <v>99.9</v>
      </c>
      <c r="BG53" s="9">
        <v>100</v>
      </c>
      <c r="BH53" s="9">
        <v>100.1</v>
      </c>
      <c r="BI53" s="9">
        <v>101.2</v>
      </c>
      <c r="BJ53" s="9">
        <v>100.7</v>
      </c>
      <c r="BK53" s="74">
        <v>100.6</v>
      </c>
      <c r="BL53" s="9">
        <v>101.2</v>
      </c>
      <c r="BM53" s="9">
        <v>102.3</v>
      </c>
      <c r="BN53" s="9">
        <v>99.3</v>
      </c>
      <c r="BO53" s="74">
        <v>100</v>
      </c>
      <c r="BP53" s="9">
        <v>100.4</v>
      </c>
      <c r="BQ53" s="9">
        <v>100</v>
      </c>
      <c r="BR53" s="9">
        <v>100.3</v>
      </c>
      <c r="BS53" s="74">
        <v>99.3</v>
      </c>
      <c r="BT53" s="9">
        <v>99.1</v>
      </c>
      <c r="BU53" s="9">
        <v>100.8</v>
      </c>
      <c r="BV53" s="9">
        <v>100.1</v>
      </c>
      <c r="BW53" s="9">
        <v>99.2</v>
      </c>
      <c r="BX53" s="143">
        <v>100</v>
      </c>
      <c r="BY53" s="143">
        <v>100.9</v>
      </c>
      <c r="BZ53" s="143">
        <v>100.3</v>
      </c>
      <c r="CA53" s="154">
        <v>99.5</v>
      </c>
      <c r="CB53" s="154">
        <v>101.4</v>
      </c>
      <c r="CC53" s="154">
        <v>102.2</v>
      </c>
      <c r="CD53" s="154">
        <v>99.4</v>
      </c>
      <c r="CE53" s="154">
        <v>99.5</v>
      </c>
      <c r="CF53" s="154">
        <v>100</v>
      </c>
      <c r="CG53" s="154">
        <v>103.4</v>
      </c>
      <c r="CH53" s="154">
        <v>100.2</v>
      </c>
      <c r="CI53" s="154">
        <v>99.6</v>
      </c>
      <c r="CJ53" s="160">
        <v>98.9</v>
      </c>
      <c r="CK53" s="7">
        <v>100.8</v>
      </c>
      <c r="CL53" s="159">
        <v>99.1</v>
      </c>
      <c r="CM53" s="157"/>
    </row>
    <row r="54" spans="2:9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66"/>
      <c r="BF54" s="66"/>
      <c r="BG54" s="1"/>
      <c r="BH54" s="1"/>
      <c r="BI54" s="76"/>
      <c r="BJ54" s="76"/>
      <c r="BK54" s="76"/>
      <c r="BL54" s="76"/>
      <c r="BM54" s="45"/>
      <c r="BN54" s="45"/>
      <c r="BO54" s="1"/>
      <c r="BP54" s="1"/>
      <c r="BQ54" s="45"/>
      <c r="BR54" s="45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22"/>
      <c r="CL54" s="1"/>
      <c r="CM54" s="1"/>
    </row>
    <row r="55" spans="2:91">
      <c r="B55" s="246" t="s">
        <v>48</v>
      </c>
      <c r="C55" s="246"/>
      <c r="D55" s="246"/>
      <c r="E55" s="246"/>
      <c r="F55" s="246"/>
      <c r="G55" s="246"/>
      <c r="H55" s="246"/>
      <c r="I55" s="246"/>
      <c r="J55" s="246"/>
      <c r="K55" s="246"/>
      <c r="L55" s="246"/>
      <c r="M55" s="246"/>
      <c r="N55" s="246"/>
      <c r="O55" s="44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76"/>
      <c r="BJ55" s="76"/>
      <c r="BK55" s="76"/>
      <c r="BL55" s="76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</row>
    <row r="56" spans="2:91">
      <c r="B56" s="215" t="s">
        <v>49</v>
      </c>
      <c r="C56" s="215"/>
      <c r="D56" s="146"/>
      <c r="E56" s="146"/>
      <c r="F56" s="146"/>
      <c r="G56" s="146"/>
      <c r="H56" s="46"/>
      <c r="I56" s="46"/>
      <c r="J56" s="46"/>
      <c r="K56" s="46"/>
      <c r="L56" s="46"/>
      <c r="M56" s="46"/>
      <c r="N56" s="46"/>
      <c r="O56" s="46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76"/>
      <c r="BB56" s="45"/>
      <c r="BC56" s="45"/>
      <c r="BD56" s="45"/>
      <c r="BE56" s="45"/>
      <c r="BF56" s="45"/>
      <c r="BG56" s="45"/>
      <c r="BH56" s="45"/>
      <c r="BI56" s="45"/>
      <c r="BJ56" s="45"/>
      <c r="BK56" s="45"/>
      <c r="BL56" s="45"/>
      <c r="BM56" s="45"/>
      <c r="BN56" s="45"/>
      <c r="BO56" s="45"/>
      <c r="BP56" s="45"/>
      <c r="BQ56" s="45"/>
      <c r="BR56" s="45"/>
      <c r="BS56" s="45"/>
      <c r="BT56" s="45"/>
      <c r="BU56" s="45"/>
      <c r="BV56" s="45"/>
      <c r="BW56" s="45"/>
      <c r="BX56" s="45"/>
      <c r="BY56" s="45"/>
      <c r="BZ56" s="45"/>
      <c r="CA56" s="45"/>
      <c r="CB56" s="45"/>
      <c r="CC56" s="45"/>
      <c r="CD56" s="45"/>
      <c r="CE56" s="45"/>
      <c r="CF56" s="45"/>
      <c r="CG56" s="45"/>
      <c r="CH56" s="45"/>
      <c r="CI56" s="45"/>
      <c r="CJ56" s="45"/>
      <c r="CK56" s="45"/>
      <c r="CL56" s="45"/>
      <c r="CM56" s="45"/>
    </row>
    <row r="57" spans="2:91">
      <c r="B57" s="216" t="s">
        <v>50</v>
      </c>
      <c r="C57" s="216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47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5"/>
      <c r="AM57" s="45"/>
      <c r="AN57" s="45"/>
      <c r="AO57" s="45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2:9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47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5"/>
      <c r="AM58" s="45"/>
      <c r="AN58" s="45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</row>
    <row r="59" spans="2:9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5"/>
      <c r="AM59" s="45"/>
      <c r="AN59" s="45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</row>
  </sheetData>
  <mergeCells count="117">
    <mergeCell ref="CJ4:CM4"/>
    <mergeCell ref="CJ6:CJ7"/>
    <mergeCell ref="CK6:CK7"/>
    <mergeCell ref="CL6:CL7"/>
    <mergeCell ref="CM6:CM7"/>
    <mergeCell ref="CF4:CI4"/>
    <mergeCell ref="CF6:CF7"/>
    <mergeCell ref="CG6:CG7"/>
    <mergeCell ref="CH6:CH7"/>
    <mergeCell ref="CI6:CI7"/>
    <mergeCell ref="CB4:CE4"/>
    <mergeCell ref="CB6:CB7"/>
    <mergeCell ref="CC6:CC7"/>
    <mergeCell ref="CD6:CD7"/>
    <mergeCell ref="CE6:CE7"/>
    <mergeCell ref="B55:N55"/>
    <mergeCell ref="AW6:AW7"/>
    <mergeCell ref="P6:P7"/>
    <mergeCell ref="E6:E7"/>
    <mergeCell ref="AY6:AY7"/>
    <mergeCell ref="D6:D7"/>
    <mergeCell ref="G6:G7"/>
    <mergeCell ref="K6:K7"/>
    <mergeCell ref="BI6:BI7"/>
    <mergeCell ref="I6:I7"/>
    <mergeCell ref="H6:H7"/>
    <mergeCell ref="F6:F7"/>
    <mergeCell ref="BJ6:BJ7"/>
    <mergeCell ref="BK6:BK7"/>
    <mergeCell ref="BL6:BL7"/>
    <mergeCell ref="BA6:BA7"/>
    <mergeCell ref="BB6:BB7"/>
    <mergeCell ref="BG6:BG7"/>
    <mergeCell ref="BH6:BH7"/>
    <mergeCell ref="J6:J7"/>
    <mergeCell ref="BE6:BE7"/>
    <mergeCell ref="AJ6:AJ7"/>
    <mergeCell ref="AG6:AG7"/>
    <mergeCell ref="L6:L7"/>
    <mergeCell ref="T6:T7"/>
    <mergeCell ref="R6:R7"/>
    <mergeCell ref="V6:V7"/>
    <mergeCell ref="M6:M7"/>
    <mergeCell ref="Q6:Q7"/>
    <mergeCell ref="AD6:AD7"/>
    <mergeCell ref="N6:N7"/>
    <mergeCell ref="O6:O7"/>
    <mergeCell ref="W6:W7"/>
    <mergeCell ref="Y6:Y7"/>
    <mergeCell ref="T4:W4"/>
    <mergeCell ref="P4:S4"/>
    <mergeCell ref="AM6:AM7"/>
    <mergeCell ref="AA6:AA7"/>
    <mergeCell ref="X6:X7"/>
    <mergeCell ref="AR6:AR7"/>
    <mergeCell ref="AS6:AS7"/>
    <mergeCell ref="S6:S7"/>
    <mergeCell ref="U6:U7"/>
    <mergeCell ref="AN4:AQ4"/>
    <mergeCell ref="AF4:AI4"/>
    <mergeCell ref="AF6:AF7"/>
    <mergeCell ref="AK6:AK7"/>
    <mergeCell ref="AN6:AN7"/>
    <mergeCell ref="AJ4:AM4"/>
    <mergeCell ref="AL6:AL7"/>
    <mergeCell ref="AH6:AH7"/>
    <mergeCell ref="AO6:AO7"/>
    <mergeCell ref="AP6:AP7"/>
    <mergeCell ref="AQ6:AQ7"/>
    <mergeCell ref="AV4:AY4"/>
    <mergeCell ref="AV6:AV7"/>
    <mergeCell ref="B1:G1"/>
    <mergeCell ref="B4:C5"/>
    <mergeCell ref="D4:G4"/>
    <mergeCell ref="H4:K4"/>
    <mergeCell ref="F2:G2"/>
    <mergeCell ref="BY2:BZ2"/>
    <mergeCell ref="AT6:AT7"/>
    <mergeCell ref="AU6:AU7"/>
    <mergeCell ref="Z6:Z7"/>
    <mergeCell ref="AB6:AB7"/>
    <mergeCell ref="AI6:AI7"/>
    <mergeCell ref="BL4:BO4"/>
    <mergeCell ref="BO6:BO7"/>
    <mergeCell ref="BM6:BM7"/>
    <mergeCell ref="BH4:BK4"/>
    <mergeCell ref="AX6:AX7"/>
    <mergeCell ref="BF6:BF7"/>
    <mergeCell ref="AB4:AE4"/>
    <mergeCell ref="AE6:AE7"/>
    <mergeCell ref="X4:AA4"/>
    <mergeCell ref="AC6:AC7"/>
    <mergeCell ref="L4:O4"/>
    <mergeCell ref="B56:C56"/>
    <mergeCell ref="B57:C57"/>
    <mergeCell ref="BX4:CA4"/>
    <mergeCell ref="BX6:BX7"/>
    <mergeCell ref="CA6:CA7"/>
    <mergeCell ref="BT4:BW4"/>
    <mergeCell ref="BT6:BT7"/>
    <mergeCell ref="BU6:BU7"/>
    <mergeCell ref="BV6:BV7"/>
    <mergeCell ref="BW6:BW7"/>
    <mergeCell ref="AR4:AU4"/>
    <mergeCell ref="BD4:BG4"/>
    <mergeCell ref="AZ4:BC4"/>
    <mergeCell ref="AZ6:AZ7"/>
    <mergeCell ref="BP4:BS4"/>
    <mergeCell ref="BP6:BP7"/>
    <mergeCell ref="BQ6:BQ7"/>
    <mergeCell ref="BR6:BR7"/>
    <mergeCell ref="BS6:BS7"/>
    <mergeCell ref="BN6:BN7"/>
    <mergeCell ref="BD6:BD7"/>
    <mergeCell ref="BY6:BY7"/>
    <mergeCell ref="BZ6:BZ7"/>
    <mergeCell ref="BC6:BC7"/>
  </mergeCells>
  <hyperlinks>
    <hyperlink ref="F2:G2" location="'Spis tablic'!A1" display="Powrót do spisu" xr:uid="{00000000-0004-0000-1100-000000000000}"/>
    <hyperlink ref="BY2:BZ2" location="'Spis tablic'!A1" display="Powrót do spisu" xr:uid="{00000000-0004-0000-1100-000001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Petla_For</vt:lpstr>
      <vt:lpstr>Wykresy</vt:lpstr>
      <vt:lpstr>Nazwy</vt:lpstr>
      <vt:lpstr>Solver</vt:lpstr>
      <vt:lpstr>Dane_wykresy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Jakub Rybacki</cp:lastModifiedBy>
  <dcterms:created xsi:type="dcterms:W3CDTF">2022-01-16T08:35:32Z</dcterms:created>
  <dcterms:modified xsi:type="dcterms:W3CDTF">2022-03-12T11:59:29Z</dcterms:modified>
</cp:coreProperties>
</file>